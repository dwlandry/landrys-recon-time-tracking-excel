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dlandry\Desktop\"/>
    </mc:Choice>
  </mc:AlternateContent>
  <bookViews>
    <workbookView xWindow="0" yWindow="0" windowWidth="22245" windowHeight="11070"/>
  </bookViews>
  <sheets>
    <sheet name="report" sheetId="3" r:id="rId1"/>
    <sheet name="tbl_timesheet" sheetId="1" r:id="rId2"/>
    <sheet name="tbl_projects" sheetId="2" r:id="rId3"/>
  </sheets>
  <externalReferences>
    <externalReference r:id="rId4"/>
    <externalReference r:id="rId5"/>
    <externalReference r:id="rId6"/>
    <externalReference r:id="rId7"/>
    <externalReference r:id="rId8"/>
    <externalReference r:id="rId9"/>
    <externalReference r:id="rId10"/>
    <externalReference r:id="rId11"/>
  </externalReferences>
  <definedNames>
    <definedName name="_xlnm._FilterDatabase" localSheetId="0" hidden="1">report!$K$3:$L$14</definedName>
    <definedName name="_Key1" hidden="1">'[1]01007 DEL'!$F$8</definedName>
    <definedName name="_Key2" hidden="1">'[1]01007 DEL'!$A$1</definedName>
    <definedName name="_Order1" hidden="1">255</definedName>
    <definedName name="_Order2" hidden="1">255</definedName>
    <definedName name="_Sort" hidden="1">'[1]01007 DEL'!$A$8:$O$17</definedName>
    <definedName name="_xlcn.WorksheetConnection_Book1tbl_projects1" hidden="1">tbl_projects[]</definedName>
    <definedName name="_xlcn.WorksheetConnection_Book1tbl_timesheet1" hidden="1">tbl_timesheet[]</definedName>
    <definedName name="A" hidden="1">#REF!</definedName>
    <definedName name="aa" hidden="1">#REF!</definedName>
    <definedName name="aas" hidden="1">'[2]01502'!$F$8</definedName>
    <definedName name="as" hidden="1">'[2]01502'!$A$1</definedName>
    <definedName name="BB" hidden="1">[3]FE01012!$F$8</definedName>
    <definedName name="CC" hidden="1">[3]FE01012!$A$1</definedName>
    <definedName name="D" hidden="1">'[4]01AST00'!$F$8</definedName>
    <definedName name="DD" hidden="1">[3]FE01012!$A$8:$O$34</definedName>
    <definedName name="drgrgdg" hidden="1">#REF!</definedName>
    <definedName name="drtdfg" hidden="1">#REF!</definedName>
    <definedName name="E" hidden="1">'[4]01AST00'!$A$1</definedName>
    <definedName name="EE" hidden="1">'[5]PCV-01025'!$F$8</definedName>
    <definedName name="ffffyuui" hidden="1">#REF!</definedName>
    <definedName name="fgfghui" hidden="1">#REF!</definedName>
    <definedName name="fghjk" hidden="1">#REF!</definedName>
    <definedName name="gg" hidden="1">'[6]PCV-01025'!$F$8</definedName>
    <definedName name="HHJK" hidden="1">'[1]01007 DEL'!$A$1</definedName>
    <definedName name="II" hidden="1">#REF!</definedName>
    <definedName name="jj" hidden="1">'[5]PCV-01025'!$F$8</definedName>
    <definedName name="L" hidden="1">'[7]01007 DEL'!$A$1</definedName>
    <definedName name="LL" hidden="1">#REF!</definedName>
    <definedName name="LLL" hidden="1">'[1]01007 DEL'!$F$8</definedName>
    <definedName name="m" hidden="1">#REF!</definedName>
    <definedName name="NN" hidden="1">#REF!</definedName>
    <definedName name="o" hidden="1">'[8]TW-02503A'!$A$1</definedName>
    <definedName name="p" hidden="1">'[8]TW-02503A'!$F$8</definedName>
    <definedName name="PP" hidden="1">#REF!</definedName>
    <definedName name="sargg" hidden="1">#REF!</definedName>
    <definedName name="Slicer_IsActive">#N/A</definedName>
    <definedName name="SS" hidden="1">'[5]PCV-01025'!$A$1</definedName>
    <definedName name="TRASH" hidden="1">{#N/A,#N/A,FALSE,"32-01";#N/A,#N/A,FALSE,"32-02";#N/A,#N/A,FALSE,"32-03";#N/A,#N/A,FALSE,"32-06";#N/A,#N/A,FALSE,"32-08";#N/A,#N/A,FALSE,"32-32";#N/A,#N/A,FALSE,"32-33";#N/A,#N/A,FALSE,"33-03";#N/A,#N/A,FALSE,"33-04";#N/A,#N/A,FALSE,"33-16";#N/A,#N/A,FALSE,"33-17";#N/A,#N/A,FALSE,"33-27";#N/A,#N/A,FALSE,"33-38"}</definedName>
    <definedName name="TYEU5" hidden="1">'[1]01007 DEL'!$A$8:$O$17</definedName>
    <definedName name="w" hidden="1">'[8]TW-02503A'!$A$8:$O$21</definedName>
    <definedName name="wrn.ESTIMATE." hidden="1">{#N/A,#N/A,FALSE,"9150 INSTRUMENT";#N/A,#N/A,FALSE,"144 Series Tasks";#N/A,#N/A,FALSE,"220+ Series Tasks"}</definedName>
    <definedName name="wrn.PRINTALL." hidden="1">{#N/A,#N/A,FALSE,"32-01";#N/A,#N/A,FALSE,"32-02";#N/A,#N/A,FALSE,"32-03";#N/A,#N/A,FALSE,"32-06";#N/A,#N/A,FALSE,"32-08";#N/A,#N/A,FALSE,"32-32";#N/A,#N/A,FALSE,"32-33";#N/A,#N/A,FALSE,"33-03";#N/A,#N/A,FALSE,"33-04";#N/A,#N/A,FALSE,"33-16";#N/A,#N/A,FALSE,"33-17";#N/A,#N/A,FALSE,"33-27";#N/A,#N/A,FALSE,"33-38"}</definedName>
    <definedName name="WW" hidden="1">'[7]01007 DEL'!$A$8:$O$17</definedName>
    <definedName name="Y" hidden="1">'[7]01007 DEL'!$F$8</definedName>
    <definedName name="YY" hidden="1">#REF!</definedName>
    <definedName name="yyy" hidden="1">'[5]PCV-01025'!$A$1</definedName>
    <definedName name="z" hidden="1">#REF!</definedName>
  </definedNames>
  <calcPr calcId="162913" iterate="1"/>
  <pivotCaches>
    <pivotCache cacheId="13" r:id="rId12"/>
  </pivotCaches>
  <extLst>
    <ext xmlns:x14="http://schemas.microsoft.com/office/spreadsheetml/2009/9/main" uri="{876F7934-8845-4945-9796-88D515C7AA90}">
      <x14:pivotCaches>
        <pivotCache cacheId="12" r:id="rId13"/>
      </x14:pivotCaches>
    </ex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timesheet" name="tbl_timesheet" connection="WorksheetConnection_Book1!tbl_timesheet"/>
          <x15:modelTable id="tbl_projects" name="tbl_projects" connection="WorksheetConnection_Book1!tbl_projects"/>
        </x15:modelTables>
        <x15:modelRelationships>
          <x15:modelRelationship fromTable="tbl_timesheet" fromColumn="Project Number" toTable="tbl_projects" toColumn="Project Number"/>
        </x15:modelRelationships>
      </x15:dataModel>
    </ext>
  </extLst>
</workbook>
</file>

<file path=xl/calcChain.xml><?xml version="1.0" encoding="utf-8"?>
<calcChain xmlns="http://schemas.openxmlformats.org/spreadsheetml/2006/main">
  <c r="K24" i="3" l="1"/>
  <c r="U42" i="2" l="1"/>
  <c r="V42" i="2"/>
  <c r="U41" i="2"/>
  <c r="V41" i="2"/>
  <c r="M424" i="1" l="1"/>
  <c r="N424" i="1"/>
  <c r="M423" i="1"/>
  <c r="N423" i="1"/>
  <c r="M422" i="1"/>
  <c r="N422" i="1"/>
  <c r="M421" i="1"/>
  <c r="N421" i="1"/>
  <c r="M420" i="1"/>
  <c r="N420" i="1"/>
  <c r="M419" i="1"/>
  <c r="N419" i="1"/>
  <c r="M418" i="1" l="1"/>
  <c r="N418" i="1"/>
  <c r="M417" i="1"/>
  <c r="N417" i="1"/>
  <c r="M416" i="1"/>
  <c r="N416" i="1"/>
  <c r="M415" i="1"/>
  <c r="N415" i="1"/>
  <c r="M414" i="1"/>
  <c r="N414" i="1"/>
  <c r="U40" i="2" l="1"/>
  <c r="V40" i="2"/>
  <c r="M413" i="1" l="1"/>
  <c r="N413" i="1"/>
  <c r="M412" i="1"/>
  <c r="N412" i="1"/>
  <c r="M411" i="1"/>
  <c r="N411" i="1"/>
  <c r="M410" i="1"/>
  <c r="N410" i="1"/>
  <c r="M409" i="1"/>
  <c r="N409" i="1"/>
  <c r="M408" i="1"/>
  <c r="N408" i="1"/>
  <c r="M407" i="1"/>
  <c r="N407" i="1"/>
  <c r="M406" i="1"/>
  <c r="N406" i="1"/>
  <c r="M405" i="1"/>
  <c r="N405" i="1"/>
  <c r="M404" i="1"/>
  <c r="N404" i="1"/>
  <c r="M403" i="1"/>
  <c r="N403" i="1"/>
  <c r="M402" i="1"/>
  <c r="N402" i="1"/>
  <c r="M401" i="1"/>
  <c r="N401" i="1"/>
  <c r="M400" i="1" l="1"/>
  <c r="N400" i="1"/>
  <c r="M399" i="1"/>
  <c r="N399" i="1"/>
  <c r="M398" i="1"/>
  <c r="N398" i="1"/>
  <c r="M397" i="1"/>
  <c r="N397" i="1"/>
  <c r="M396" i="1"/>
  <c r="N396" i="1"/>
  <c r="M395" i="1"/>
  <c r="N395" i="1"/>
  <c r="M394" i="1"/>
  <c r="N394" i="1"/>
  <c r="M393" i="1"/>
  <c r="N393" i="1"/>
  <c r="M392" i="1"/>
  <c r="N392" i="1"/>
  <c r="F25" i="3" l="1"/>
  <c r="M391" i="1" l="1"/>
  <c r="N391" i="1"/>
  <c r="M390" i="1"/>
  <c r="N390" i="1"/>
  <c r="M389" i="1"/>
  <c r="N389" i="1"/>
  <c r="M388" i="1"/>
  <c r="N388" i="1"/>
  <c r="M387" i="1"/>
  <c r="N387" i="1"/>
  <c r="M386" i="1"/>
  <c r="N386" i="1"/>
  <c r="M385" i="1"/>
  <c r="N385" i="1"/>
  <c r="M384" i="1"/>
  <c r="N384" i="1"/>
  <c r="M383" i="1"/>
  <c r="N383" i="1"/>
  <c r="M382" i="1"/>
  <c r="N382" i="1"/>
  <c r="M381" i="1"/>
  <c r="N381" i="1"/>
  <c r="M380" i="1"/>
  <c r="N380" i="1"/>
  <c r="M379" i="1" l="1"/>
  <c r="N379" i="1"/>
  <c r="M378" i="1"/>
  <c r="N378" i="1"/>
  <c r="M377" i="1"/>
  <c r="N377" i="1"/>
  <c r="M376" i="1"/>
  <c r="N376" i="1"/>
  <c r="M375" i="1"/>
  <c r="N375" i="1"/>
  <c r="M374" i="1"/>
  <c r="N374" i="1"/>
  <c r="M373" i="1"/>
  <c r="N373" i="1"/>
  <c r="M372" i="1"/>
  <c r="N372" i="1"/>
  <c r="M371" i="1"/>
  <c r="N371" i="1"/>
  <c r="M370" i="1" l="1"/>
  <c r="N370" i="1"/>
  <c r="M369" i="1"/>
  <c r="N369" i="1"/>
  <c r="M368" i="1"/>
  <c r="N368" i="1"/>
  <c r="M367" i="1"/>
  <c r="N367" i="1"/>
  <c r="M366" i="1"/>
  <c r="N366" i="1"/>
  <c r="M365" i="1"/>
  <c r="N365" i="1"/>
  <c r="M364" i="1"/>
  <c r="N364" i="1"/>
  <c r="M363" i="1"/>
  <c r="N363" i="1"/>
  <c r="M362" i="1"/>
  <c r="N362" i="1"/>
  <c r="M361" i="1"/>
  <c r="N361" i="1"/>
  <c r="M360" i="1"/>
  <c r="N360" i="1"/>
  <c r="M359" i="1"/>
  <c r="N359" i="1"/>
  <c r="M358" i="1"/>
  <c r="N358" i="1"/>
  <c r="U39" i="2" l="1"/>
  <c r="V39" i="2"/>
  <c r="M357" i="1" l="1"/>
  <c r="N357" i="1"/>
  <c r="M356" i="1"/>
  <c r="N356" i="1"/>
  <c r="M355" i="1"/>
  <c r="N355" i="1"/>
  <c r="M354" i="1"/>
  <c r="N354" i="1"/>
  <c r="M353" i="1"/>
  <c r="N353" i="1"/>
  <c r="M352" i="1"/>
  <c r="N352" i="1"/>
  <c r="M351" i="1"/>
  <c r="N351" i="1"/>
  <c r="M350" i="1"/>
  <c r="N350" i="1"/>
  <c r="M349" i="1" l="1"/>
  <c r="N349" i="1"/>
  <c r="M348" i="1"/>
  <c r="N348" i="1"/>
  <c r="M347" i="1"/>
  <c r="N347" i="1"/>
  <c r="M346" i="1"/>
  <c r="N346" i="1"/>
  <c r="M345" i="1"/>
  <c r="N345" i="1"/>
  <c r="M344" i="1"/>
  <c r="N344" i="1"/>
  <c r="M343" i="1"/>
  <c r="N343" i="1"/>
  <c r="M342" i="1"/>
  <c r="N342" i="1"/>
  <c r="M341" i="1"/>
  <c r="N341" i="1"/>
  <c r="M340" i="1"/>
  <c r="N340" i="1"/>
  <c r="M339" i="1"/>
  <c r="N339" i="1"/>
  <c r="M338" i="1"/>
  <c r="N338" i="1"/>
  <c r="M337" i="1"/>
  <c r="N337" i="1"/>
  <c r="M336" i="1"/>
  <c r="N336" i="1"/>
  <c r="M335" i="1"/>
  <c r="N335" i="1"/>
  <c r="M334" i="1"/>
  <c r="N334" i="1"/>
  <c r="M333" i="1"/>
  <c r="N333" i="1"/>
  <c r="M332" i="1"/>
  <c r="N332" i="1"/>
  <c r="M331" i="1"/>
  <c r="N331" i="1"/>
  <c r="M330" i="1"/>
  <c r="N330" i="1"/>
  <c r="M329" i="1"/>
  <c r="N329" i="1"/>
  <c r="M328" i="1"/>
  <c r="N328" i="1"/>
  <c r="U38" i="2" l="1"/>
  <c r="V38" i="2"/>
  <c r="U37" i="2"/>
  <c r="V37" i="2"/>
  <c r="U36" i="2"/>
  <c r="V36" i="2"/>
  <c r="U35" i="2" l="1"/>
  <c r="V35" i="2"/>
  <c r="U34" i="2"/>
  <c r="V34" i="2"/>
  <c r="U33" i="2"/>
  <c r="V33" i="2"/>
  <c r="M327" i="1" l="1"/>
  <c r="N327" i="1"/>
  <c r="M326" i="1"/>
  <c r="N326" i="1"/>
  <c r="M325" i="1"/>
  <c r="N325" i="1"/>
  <c r="M324" i="1"/>
  <c r="N324" i="1"/>
  <c r="M323" i="1"/>
  <c r="N323" i="1"/>
  <c r="M322" i="1"/>
  <c r="N322" i="1"/>
  <c r="M321" i="1"/>
  <c r="N321" i="1"/>
  <c r="M320" i="1"/>
  <c r="N320" i="1"/>
  <c r="M319" i="1"/>
  <c r="N319" i="1"/>
  <c r="M318" i="1"/>
  <c r="N318" i="1"/>
  <c r="U32" i="2" l="1"/>
  <c r="V32" i="2"/>
  <c r="M317" i="1" l="1"/>
  <c r="N317" i="1"/>
  <c r="M316" i="1"/>
  <c r="N316" i="1"/>
  <c r="M315" i="1"/>
  <c r="N315" i="1"/>
  <c r="M314" i="1"/>
  <c r="N314" i="1"/>
  <c r="M313" i="1"/>
  <c r="N313" i="1"/>
  <c r="M312" i="1"/>
  <c r="N312" i="1"/>
  <c r="M311" i="1"/>
  <c r="N311" i="1"/>
  <c r="M310" i="1"/>
  <c r="N310" i="1"/>
  <c r="M309" i="1"/>
  <c r="N309" i="1"/>
  <c r="M308" i="1"/>
  <c r="N308" i="1"/>
  <c r="M307" i="1"/>
  <c r="N307" i="1"/>
  <c r="M306" i="1"/>
  <c r="N306" i="1"/>
  <c r="M305" i="1"/>
  <c r="N305" i="1"/>
  <c r="M304" i="1"/>
  <c r="N304" i="1"/>
  <c r="M303" i="1"/>
  <c r="N303" i="1"/>
  <c r="M302" i="1"/>
  <c r="N302" i="1"/>
  <c r="U31" i="2" l="1"/>
  <c r="V31" i="2"/>
  <c r="M301" i="1" l="1"/>
  <c r="N301" i="1"/>
  <c r="M300" i="1"/>
  <c r="N300" i="1"/>
  <c r="M299" i="1"/>
  <c r="N299" i="1"/>
  <c r="M298" i="1"/>
  <c r="N298" i="1"/>
  <c r="M297" i="1"/>
  <c r="N297" i="1"/>
  <c r="M296" i="1" l="1"/>
  <c r="N296" i="1"/>
  <c r="M295" i="1"/>
  <c r="N295" i="1"/>
  <c r="M294" i="1"/>
  <c r="N294" i="1"/>
  <c r="M293" i="1"/>
  <c r="N293" i="1"/>
  <c r="M292" i="1"/>
  <c r="N292" i="1"/>
  <c r="M291" i="1"/>
  <c r="N291" i="1"/>
  <c r="M290" i="1"/>
  <c r="N290" i="1"/>
  <c r="M289" i="1"/>
  <c r="N289" i="1"/>
  <c r="U30" i="2"/>
  <c r="V30" i="2"/>
  <c r="U29" i="2"/>
  <c r="V29" i="2"/>
  <c r="F12" i="3"/>
  <c r="M288" i="1" l="1"/>
  <c r="N288" i="1"/>
  <c r="M287" i="1"/>
  <c r="N287" i="1"/>
  <c r="M286" i="1"/>
  <c r="N286" i="1"/>
  <c r="M285" i="1"/>
  <c r="N285" i="1"/>
  <c r="M284" i="1"/>
  <c r="N284" i="1"/>
  <c r="U28" i="2" l="1"/>
  <c r="V28" i="2"/>
  <c r="U27" i="2"/>
  <c r="V27" i="2"/>
  <c r="U26" i="2" l="1"/>
  <c r="V26" i="2"/>
  <c r="U25" i="2"/>
  <c r="V25" i="2"/>
  <c r="U24" i="2"/>
  <c r="V24" i="2"/>
  <c r="U23" i="2"/>
  <c r="V23" i="2"/>
  <c r="M277" i="1" l="1"/>
  <c r="M278" i="1"/>
  <c r="M279" i="1"/>
  <c r="M280" i="1"/>
  <c r="M281" i="1"/>
  <c r="M282" i="1"/>
  <c r="M283" i="1"/>
  <c r="N277" i="1"/>
  <c r="N278" i="1"/>
  <c r="N279" i="1"/>
  <c r="N280" i="1"/>
  <c r="N281" i="1"/>
  <c r="N282" i="1"/>
  <c r="N283" i="1"/>
  <c r="M266" i="1" l="1"/>
  <c r="M267" i="1"/>
  <c r="M268" i="1"/>
  <c r="M269" i="1"/>
  <c r="M270" i="1"/>
  <c r="M271" i="1"/>
  <c r="M272" i="1"/>
  <c r="M273" i="1"/>
  <c r="M274" i="1"/>
  <c r="M275" i="1"/>
  <c r="M276" i="1"/>
  <c r="N266" i="1"/>
  <c r="N267" i="1"/>
  <c r="N268" i="1"/>
  <c r="N269" i="1"/>
  <c r="N270" i="1"/>
  <c r="N271" i="1"/>
  <c r="N272" i="1"/>
  <c r="N273" i="1"/>
  <c r="N274" i="1"/>
  <c r="N275" i="1"/>
  <c r="N276" i="1"/>
  <c r="M261" i="1" l="1"/>
  <c r="M262" i="1"/>
  <c r="M263" i="1"/>
  <c r="M264" i="1"/>
  <c r="M265" i="1"/>
  <c r="N261" i="1"/>
  <c r="N262" i="1"/>
  <c r="N263" i="1"/>
  <c r="N264" i="1"/>
  <c r="N265" i="1"/>
  <c r="G54" i="3" l="1"/>
  <c r="G53" i="3"/>
  <c r="G52" i="3"/>
  <c r="G51" i="3"/>
  <c r="G50" i="3"/>
  <c r="G49" i="3"/>
  <c r="G48" i="3"/>
  <c r="G47" i="3"/>
  <c r="G46" i="3"/>
  <c r="G45" i="3"/>
  <c r="G44" i="3"/>
  <c r="G43" i="3"/>
  <c r="G42" i="3"/>
  <c r="G41" i="3"/>
  <c r="G40" i="3"/>
  <c r="G39" i="3"/>
  <c r="G38" i="3"/>
  <c r="G37" i="3"/>
  <c r="G36" i="3"/>
  <c r="G35" i="3"/>
  <c r="G34" i="3"/>
  <c r="G33" i="3"/>
  <c r="G32" i="3"/>
  <c r="G31" i="3"/>
  <c r="G30" i="3"/>
  <c r="G29" i="3"/>
  <c r="G28" i="3"/>
  <c r="G27" i="3"/>
  <c r="G26" i="3"/>
  <c r="G25" i="3"/>
  <c r="G24" i="3"/>
  <c r="G23" i="3"/>
  <c r="G22" i="3"/>
  <c r="G21" i="3"/>
  <c r="G20" i="3"/>
  <c r="G19" i="3"/>
  <c r="G18" i="3"/>
  <c r="G17" i="3"/>
  <c r="G16" i="3"/>
  <c r="G15" i="3"/>
  <c r="G14" i="3"/>
  <c r="G13" i="3"/>
  <c r="G12" i="3"/>
  <c r="G11" i="3"/>
  <c r="G10" i="3"/>
  <c r="G9" i="3"/>
  <c r="G8" i="3"/>
  <c r="G7" i="3"/>
  <c r="G6" i="3"/>
  <c r="G5" i="3"/>
  <c r="G4" i="3"/>
  <c r="M256" i="1" l="1"/>
  <c r="M257" i="1"/>
  <c r="M258" i="1"/>
  <c r="M259" i="1"/>
  <c r="M260" i="1"/>
  <c r="N256" i="1"/>
  <c r="N257" i="1"/>
  <c r="N258" i="1"/>
  <c r="N259" i="1"/>
  <c r="N260" i="1"/>
  <c r="M245" i="1"/>
  <c r="M246" i="1"/>
  <c r="M247" i="1"/>
  <c r="M248" i="1"/>
  <c r="M249" i="1"/>
  <c r="M250" i="1"/>
  <c r="M251" i="1"/>
  <c r="M252" i="1"/>
  <c r="M253" i="1"/>
  <c r="M254" i="1"/>
  <c r="M255" i="1"/>
  <c r="N245" i="1"/>
  <c r="N246" i="1"/>
  <c r="N247" i="1"/>
  <c r="N248" i="1"/>
  <c r="N249" i="1"/>
  <c r="N250" i="1"/>
  <c r="N251" i="1"/>
  <c r="N252" i="1"/>
  <c r="N253" i="1"/>
  <c r="N254" i="1"/>
  <c r="N255" i="1"/>
  <c r="M231" i="1"/>
  <c r="M232" i="1"/>
  <c r="M233" i="1"/>
  <c r="M234" i="1"/>
  <c r="M235" i="1"/>
  <c r="M236" i="1"/>
  <c r="M237" i="1"/>
  <c r="M238" i="1"/>
  <c r="M239" i="1"/>
  <c r="M240" i="1"/>
  <c r="M241" i="1"/>
  <c r="M242" i="1"/>
  <c r="M243" i="1"/>
  <c r="M244" i="1"/>
  <c r="N231" i="1"/>
  <c r="N232" i="1"/>
  <c r="N233" i="1"/>
  <c r="N234" i="1"/>
  <c r="N235" i="1"/>
  <c r="N236" i="1"/>
  <c r="N237" i="1"/>
  <c r="N238" i="1"/>
  <c r="N239" i="1"/>
  <c r="N240" i="1"/>
  <c r="N241" i="1"/>
  <c r="N242" i="1"/>
  <c r="N243" i="1"/>
  <c r="N244" i="1"/>
  <c r="U14" i="2" l="1"/>
  <c r="V14" i="2"/>
  <c r="M222" i="1" l="1"/>
  <c r="M223" i="1"/>
  <c r="M224" i="1"/>
  <c r="M225" i="1"/>
  <c r="M226" i="1"/>
  <c r="M227" i="1"/>
  <c r="M228" i="1"/>
  <c r="M229" i="1"/>
  <c r="M230" i="1"/>
  <c r="N222" i="1"/>
  <c r="N223" i="1"/>
  <c r="N224" i="1"/>
  <c r="N225" i="1"/>
  <c r="N226" i="1"/>
  <c r="N227" i="1"/>
  <c r="N228" i="1"/>
  <c r="N229" i="1"/>
  <c r="N230" i="1"/>
  <c r="M211" i="1" l="1"/>
  <c r="M212" i="1"/>
  <c r="M213" i="1"/>
  <c r="M214" i="1"/>
  <c r="M215" i="1"/>
  <c r="M216" i="1"/>
  <c r="M217" i="1"/>
  <c r="M218" i="1"/>
  <c r="M219" i="1"/>
  <c r="M220" i="1"/>
  <c r="M221" i="1"/>
  <c r="N211" i="1"/>
  <c r="N212" i="1"/>
  <c r="N213" i="1"/>
  <c r="N214" i="1"/>
  <c r="N215" i="1"/>
  <c r="N216" i="1"/>
  <c r="N217" i="1"/>
  <c r="N218" i="1"/>
  <c r="N219" i="1"/>
  <c r="N220" i="1"/>
  <c r="N221" i="1"/>
  <c r="M204" i="1" l="1"/>
  <c r="M205" i="1"/>
  <c r="M206" i="1"/>
  <c r="M207" i="1"/>
  <c r="M208" i="1"/>
  <c r="M209" i="1"/>
  <c r="M210" i="1"/>
  <c r="N204" i="1"/>
  <c r="N205" i="1"/>
  <c r="N206" i="1"/>
  <c r="N207" i="1"/>
  <c r="N208" i="1"/>
  <c r="N209" i="1"/>
  <c r="N210" i="1"/>
  <c r="M196" i="1" l="1"/>
  <c r="M197" i="1"/>
  <c r="M198" i="1"/>
  <c r="M199" i="1"/>
  <c r="M200" i="1"/>
  <c r="M201" i="1"/>
  <c r="M202" i="1"/>
  <c r="M203" i="1"/>
  <c r="N196" i="1"/>
  <c r="N197" i="1"/>
  <c r="N198" i="1"/>
  <c r="N199" i="1"/>
  <c r="N200" i="1"/>
  <c r="N201" i="1"/>
  <c r="N202" i="1"/>
  <c r="N203" i="1"/>
  <c r="U15" i="2" l="1"/>
  <c r="V15" i="2"/>
  <c r="M182" i="1"/>
  <c r="M183" i="1"/>
  <c r="M184" i="1"/>
  <c r="M185" i="1"/>
  <c r="M186" i="1"/>
  <c r="M187" i="1"/>
  <c r="N182" i="1"/>
  <c r="N183" i="1"/>
  <c r="N184" i="1"/>
  <c r="N185" i="1"/>
  <c r="N186" i="1"/>
  <c r="N187" i="1"/>
  <c r="M188" i="1"/>
  <c r="M189" i="1"/>
  <c r="M190" i="1"/>
  <c r="M191" i="1"/>
  <c r="M192" i="1"/>
  <c r="M193" i="1"/>
  <c r="M194" i="1"/>
  <c r="M195" i="1"/>
  <c r="N188" i="1"/>
  <c r="N189" i="1"/>
  <c r="N190" i="1"/>
  <c r="N191" i="1"/>
  <c r="N192" i="1"/>
  <c r="N193" i="1"/>
  <c r="N194" i="1"/>
  <c r="N195" i="1"/>
  <c r="F54" i="3" l="1"/>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4" i="3"/>
  <c r="F23" i="3"/>
  <c r="F22" i="3"/>
  <c r="F20" i="3"/>
  <c r="F19" i="3"/>
  <c r="F18" i="3"/>
  <c r="F17" i="3"/>
  <c r="F16" i="3"/>
  <c r="F15" i="3"/>
  <c r="F14" i="3"/>
  <c r="F13" i="3"/>
  <c r="F11" i="3"/>
  <c r="F10" i="3"/>
  <c r="F9" i="3"/>
  <c r="F8" i="3"/>
  <c r="F7" i="3"/>
  <c r="F6" i="3"/>
  <c r="F5" i="3"/>
  <c r="F4" i="3"/>
  <c r="F3" i="3"/>
  <c r="M171" i="1"/>
  <c r="M172" i="1"/>
  <c r="M173" i="1"/>
  <c r="M174" i="1"/>
  <c r="M175" i="1"/>
  <c r="M176" i="1"/>
  <c r="M177" i="1"/>
  <c r="M178" i="1"/>
  <c r="M179" i="1"/>
  <c r="M180" i="1"/>
  <c r="M181" i="1"/>
  <c r="N171" i="1"/>
  <c r="N172" i="1"/>
  <c r="N173" i="1"/>
  <c r="N174" i="1"/>
  <c r="N175" i="1"/>
  <c r="N176" i="1"/>
  <c r="N177" i="1"/>
  <c r="N178" i="1"/>
  <c r="N179" i="1"/>
  <c r="N180" i="1"/>
  <c r="N181" i="1"/>
  <c r="M162" i="1" l="1"/>
  <c r="M163" i="1"/>
  <c r="M164" i="1"/>
  <c r="M165" i="1"/>
  <c r="M166" i="1"/>
  <c r="M167" i="1"/>
  <c r="M168" i="1"/>
  <c r="M169" i="1"/>
  <c r="M170" i="1"/>
  <c r="N162" i="1"/>
  <c r="N163" i="1"/>
  <c r="N164" i="1"/>
  <c r="N165" i="1"/>
  <c r="N166" i="1"/>
  <c r="N167" i="1"/>
  <c r="N168" i="1"/>
  <c r="N169" i="1"/>
  <c r="N170" i="1"/>
  <c r="M158" i="1" l="1"/>
  <c r="M159" i="1"/>
  <c r="M160" i="1"/>
  <c r="M161" i="1"/>
  <c r="N158" i="1"/>
  <c r="N159" i="1"/>
  <c r="N160" i="1"/>
  <c r="N161" i="1"/>
  <c r="M153" i="1" l="1"/>
  <c r="M154" i="1"/>
  <c r="M155" i="1"/>
  <c r="M156" i="1"/>
  <c r="M157" i="1"/>
  <c r="N153" i="1"/>
  <c r="N154" i="1"/>
  <c r="N155" i="1"/>
  <c r="N156" i="1"/>
  <c r="N157" i="1"/>
  <c r="H54" i="3" l="1"/>
  <c r="H52" i="3"/>
  <c r="H50" i="3"/>
  <c r="I49" i="3"/>
  <c r="H48" i="3"/>
  <c r="I47" i="3"/>
  <c r="H46" i="3"/>
  <c r="I45" i="3"/>
  <c r="H44" i="3"/>
  <c r="H42" i="3"/>
  <c r="I41" i="3"/>
  <c r="H40" i="3"/>
  <c r="I39" i="3"/>
  <c r="H38" i="3"/>
  <c r="H36" i="3"/>
  <c r="H34" i="3"/>
  <c r="I33" i="3"/>
  <c r="H32" i="3"/>
  <c r="I31" i="3"/>
  <c r="H30" i="3"/>
  <c r="I29" i="3"/>
  <c r="H28" i="3"/>
  <c r="H26" i="3"/>
  <c r="I25" i="3"/>
  <c r="H24" i="3"/>
  <c r="I21" i="3"/>
  <c r="I54" i="3"/>
  <c r="I53" i="3"/>
  <c r="H53" i="3"/>
  <c r="I52" i="3"/>
  <c r="I51" i="3"/>
  <c r="H51" i="3"/>
  <c r="I50" i="3"/>
  <c r="H49" i="3"/>
  <c r="I48" i="3"/>
  <c r="H47" i="3"/>
  <c r="I46" i="3"/>
  <c r="H45" i="3"/>
  <c r="I44" i="3"/>
  <c r="I43" i="3"/>
  <c r="H43" i="3"/>
  <c r="I42" i="3"/>
  <c r="H41" i="3"/>
  <c r="I40" i="3"/>
  <c r="H39" i="3"/>
  <c r="I38" i="3"/>
  <c r="I37" i="3"/>
  <c r="H37" i="3"/>
  <c r="I36" i="3"/>
  <c r="I35" i="3"/>
  <c r="H35" i="3"/>
  <c r="I34" i="3"/>
  <c r="H33" i="3"/>
  <c r="I32" i="3"/>
  <c r="H31" i="3"/>
  <c r="I30" i="3"/>
  <c r="H29" i="3"/>
  <c r="I28" i="3"/>
  <c r="I27" i="3"/>
  <c r="H27" i="3"/>
  <c r="I26" i="3"/>
  <c r="H25" i="3"/>
  <c r="I24" i="3"/>
  <c r="I23" i="3"/>
  <c r="H23" i="3"/>
  <c r="I22" i="3"/>
  <c r="H22" i="3"/>
  <c r="H21" i="3"/>
  <c r="I20" i="3"/>
  <c r="H20" i="3"/>
  <c r="I19" i="3"/>
  <c r="H19" i="3"/>
  <c r="I18" i="3"/>
  <c r="H18" i="3"/>
  <c r="I17" i="3"/>
  <c r="H17" i="3"/>
  <c r="I16" i="3"/>
  <c r="H16" i="3"/>
  <c r="I15" i="3"/>
  <c r="H15" i="3"/>
  <c r="I14" i="3"/>
  <c r="H14" i="3"/>
  <c r="I13" i="3"/>
  <c r="H13" i="3"/>
  <c r="I12" i="3"/>
  <c r="H12" i="3"/>
  <c r="I11" i="3"/>
  <c r="H11" i="3"/>
  <c r="I10" i="3"/>
  <c r="H10" i="3"/>
  <c r="I9" i="3"/>
  <c r="H9" i="3"/>
  <c r="I8" i="3"/>
  <c r="H8" i="3"/>
  <c r="I7" i="3"/>
  <c r="H7" i="3"/>
  <c r="I6" i="3"/>
  <c r="H6" i="3"/>
  <c r="I5" i="3"/>
  <c r="H5" i="3"/>
  <c r="I4" i="3"/>
  <c r="H4" i="3"/>
  <c r="M140" i="1" l="1"/>
  <c r="M141" i="1"/>
  <c r="M142" i="1"/>
  <c r="M143" i="1"/>
  <c r="M144" i="1"/>
  <c r="M145" i="1"/>
  <c r="M146" i="1"/>
  <c r="M147" i="1"/>
  <c r="M148" i="1"/>
  <c r="M149" i="1"/>
  <c r="M150" i="1"/>
  <c r="M151" i="1"/>
  <c r="M152" i="1"/>
  <c r="N140" i="1"/>
  <c r="N141" i="1"/>
  <c r="N142" i="1"/>
  <c r="N143" i="1"/>
  <c r="N144" i="1"/>
  <c r="N145" i="1"/>
  <c r="N146" i="1"/>
  <c r="N147" i="1"/>
  <c r="N148" i="1"/>
  <c r="N149" i="1"/>
  <c r="N150" i="1"/>
  <c r="N151" i="1"/>
  <c r="N152" i="1"/>
  <c r="N2" i="1" l="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V2" i="2" l="1"/>
  <c r="V3" i="2"/>
  <c r="V4" i="2"/>
  <c r="V5" i="2"/>
  <c r="V6" i="2"/>
  <c r="V7" i="2"/>
  <c r="V8" i="2"/>
  <c r="V9" i="2"/>
  <c r="V10" i="2"/>
  <c r="V11" i="2"/>
  <c r="V12" i="2"/>
  <c r="V13" i="2"/>
  <c r="V16" i="2"/>
  <c r="V17" i="2"/>
  <c r="V18" i="2"/>
  <c r="V19" i="2"/>
  <c r="V20" i="2"/>
  <c r="V21" i="2"/>
  <c r="V22" i="2"/>
  <c r="U2" i="2"/>
  <c r="U3" i="2"/>
  <c r="U4" i="2"/>
  <c r="U5" i="2"/>
  <c r="U6" i="2"/>
  <c r="U7" i="2"/>
  <c r="U8" i="2"/>
  <c r="U9" i="2"/>
  <c r="U10" i="2"/>
  <c r="U11" i="2"/>
  <c r="U12" i="2"/>
  <c r="U13" i="2"/>
  <c r="U16" i="2"/>
  <c r="U17" i="2"/>
  <c r="U18" i="2"/>
  <c r="U19" i="2"/>
  <c r="U20" i="2"/>
  <c r="U21" i="2"/>
  <c r="U22" i="2"/>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Book1!tbl_projects" type="102" refreshedVersion="6" minRefreshableVersion="5">
    <extLst>
      <ext xmlns:x15="http://schemas.microsoft.com/office/spreadsheetml/2010/11/main" uri="{DE250136-89BD-433C-8126-D09CA5730AF9}">
        <x15:connection id="tbl_projects" autoDelete="1">
          <x15:rangePr sourceName="_xlcn.WorksheetConnection_Book1tbl_projects1"/>
        </x15:connection>
      </ext>
    </extLst>
  </connection>
  <connection id="3" name="WorksheetConnection_Book1!tbl_timesheet" type="102" refreshedVersion="6" minRefreshableVersion="5">
    <extLst>
      <ext xmlns:x15="http://schemas.microsoft.com/office/spreadsheetml/2010/11/main" uri="{DE250136-89BD-433C-8126-D09CA5730AF9}">
        <x15:connection id="tbl_timesheet">
          <x15:rangePr sourceName="_xlcn.WorksheetConnection_Book1tbl_timesheet1"/>
        </x15:connection>
      </ext>
    </extLst>
  </connection>
</connections>
</file>

<file path=xl/sharedStrings.xml><?xml version="1.0" encoding="utf-8"?>
<sst xmlns="http://schemas.openxmlformats.org/spreadsheetml/2006/main" count="817" uniqueCount="184">
  <si>
    <t>17053021: VOC Emissions Control – DD</t>
  </si>
  <si>
    <t>6058: Installation Details</t>
  </si>
  <si>
    <t>18000000: Overhead and Nonbillable</t>
  </si>
  <si>
    <t>6552: Holiday</t>
  </si>
  <si>
    <t>18234008: 1641802239 T1-DP Across Strain...</t>
  </si>
  <si>
    <t>6011: Instrument Specifications</t>
  </si>
  <si>
    <t>6050: P&amp;ID's</t>
  </si>
  <si>
    <t>18234011: 1641802243 T2-DP Across Strain...</t>
  </si>
  <si>
    <t>Mon</t>
  </si>
  <si>
    <t>Tue</t>
  </si>
  <si>
    <t>Wed</t>
  </si>
  <si>
    <t>Thu</t>
  </si>
  <si>
    <t>Fri</t>
  </si>
  <si>
    <t>Sat</t>
  </si>
  <si>
    <t>Sun</t>
  </si>
  <si>
    <t>Total</t>
  </si>
  <si>
    <t>6003: Instrument Field Trips/Data Gather...</t>
  </si>
  <si>
    <t>18261010: Replace Cell Liquor Tank 7 DD</t>
  </si>
  <si>
    <t>6007: Purchasing</t>
  </si>
  <si>
    <t>18261048: Replace CDS Tank DD</t>
  </si>
  <si>
    <t>Project</t>
  </si>
  <si>
    <t>Activity</t>
  </si>
  <si>
    <t>OT</t>
  </si>
  <si>
    <t>Week Ending</t>
  </si>
  <si>
    <t>6004: Meetings</t>
  </si>
  <si>
    <t>18261041: New Caustic Tank No3 FEL3</t>
  </si>
  <si>
    <t>17234021: Demin Analyzer - FEED</t>
  </si>
  <si>
    <t>18234001: T1 Mole Sieve Moisture Analyze...</t>
  </si>
  <si>
    <t>6006: Instrument Index</t>
  </si>
  <si>
    <t>18261059: T-760 Upgrade DD</t>
  </si>
  <si>
    <t>6090: Checking</t>
  </si>
  <si>
    <t>6553: Personal Time Off</t>
  </si>
  <si>
    <t>6557: Funeral Leave</t>
  </si>
  <si>
    <t>6052: Instrument Plans</t>
  </si>
  <si>
    <t>6002: Cost/AFE Estimating &amp; Scope Prep</t>
  </si>
  <si>
    <t>5002: Cost/AFE Estimating &amp; Scope Prep</t>
  </si>
  <si>
    <t>17261121: HCL Burner FEL3</t>
  </si>
  <si>
    <t>6085: Bill of Materials</t>
  </si>
  <si>
    <t>0104: Personal Time Off</t>
  </si>
  <si>
    <t>6041: Engineering Studies</t>
  </si>
  <si>
    <t>6040: Inst. Review Vendor Drawings</t>
  </si>
  <si>
    <t>18001036: Aruba Refinery Projects</t>
  </si>
  <si>
    <t>18234003: T1-Differential Pressure Acros...</t>
  </si>
  <si>
    <t>18261001: New Recycle Tank FEL3</t>
  </si>
  <si>
    <t>17106006: Huntsman SIS Project FEL3</t>
  </si>
  <si>
    <t>6102: Holiday</t>
  </si>
  <si>
    <t>18261014: F-801 Replacement DD</t>
  </si>
  <si>
    <t>6001: Department Coordination</t>
  </si>
  <si>
    <t>18261013: Breathing Air System Upgrade F...</t>
  </si>
  <si>
    <t>IsActive</t>
  </si>
  <si>
    <t>Inst Eng Budget</t>
  </si>
  <si>
    <t>Elec Eng Budget</t>
  </si>
  <si>
    <t>CO 6
EE</t>
  </si>
  <si>
    <t>CO 1
IE</t>
  </si>
  <si>
    <t>CO 2
IE</t>
  </si>
  <si>
    <t>CO 3
IE</t>
  </si>
  <si>
    <t>CO 4
IE</t>
  </si>
  <si>
    <t>CO 5
IE</t>
  </si>
  <si>
    <t>CO 1
EE</t>
  </si>
  <si>
    <t>CO 2
EE</t>
  </si>
  <si>
    <t>CO 3
EE</t>
  </si>
  <si>
    <t>CO 4
EE</t>
  </si>
  <si>
    <t>Orig Budget
IE</t>
  </si>
  <si>
    <t>Orig Budget
EE</t>
  </si>
  <si>
    <t>ECO #1</t>
  </si>
  <si>
    <t>CO 1
NUM</t>
  </si>
  <si>
    <t>CO 2
NUM</t>
  </si>
  <si>
    <t>ECO #2</t>
  </si>
  <si>
    <t>Grand Total</t>
  </si>
  <si>
    <t>EE Hrs</t>
  </si>
  <si>
    <t>IE Hrs</t>
  </si>
  <si>
    <t>IE Budget</t>
  </si>
  <si>
    <t>IE Charged</t>
  </si>
  <si>
    <t>EE Budget</t>
  </si>
  <si>
    <t>EE Charged</t>
  </si>
  <si>
    <t>IE Remaining</t>
  </si>
  <si>
    <t>EE Remaining</t>
  </si>
  <si>
    <t>75% of EE Budget</t>
  </si>
  <si>
    <t>1002: Cost / AFE Estimating &amp; Scope Prep...</t>
  </si>
  <si>
    <t>6091: Pick-Up Comments / Issues</t>
  </si>
  <si>
    <t>18234023: Demin Analyzer - DD</t>
  </si>
  <si>
    <t>Responsible for IE</t>
  </si>
  <si>
    <t>Responsible for EE</t>
  </si>
  <si>
    <t>NO</t>
  </si>
  <si>
    <t>YES</t>
  </si>
  <si>
    <t>5004: Meetings</t>
  </si>
  <si>
    <t>5003: Electrical Field Trips/Data Gather...</t>
  </si>
  <si>
    <t>6010: Instrument Calculations</t>
  </si>
  <si>
    <t>5090: Checking</t>
  </si>
  <si>
    <t>6104: Personal Time Off</t>
  </si>
  <si>
    <t>5010: Electrical Calculations</t>
  </si>
  <si>
    <t>5062: Wiring/Interconnect Diagram/Schema...</t>
  </si>
  <si>
    <t>6057: Junction Box / Terminations</t>
  </si>
  <si>
    <t>5085: Bill of Materials</t>
  </si>
  <si>
    <t>17053021</t>
  </si>
  <si>
    <t>17106006</t>
  </si>
  <si>
    <t>17234021</t>
  </si>
  <si>
    <t>17261121</t>
  </si>
  <si>
    <t>18000000</t>
  </si>
  <si>
    <t>18001036</t>
  </si>
  <si>
    <t>18234001</t>
  </si>
  <si>
    <t>18234003</t>
  </si>
  <si>
    <t>18234008</t>
  </si>
  <si>
    <t>18234009</t>
  </si>
  <si>
    <t>18234011</t>
  </si>
  <si>
    <t>18234012</t>
  </si>
  <si>
    <t>18234022</t>
  </si>
  <si>
    <t>18234023</t>
  </si>
  <si>
    <t>18261001</t>
  </si>
  <si>
    <t>18261010</t>
  </si>
  <si>
    <t>18261013</t>
  </si>
  <si>
    <t>18261014</t>
  </si>
  <si>
    <t>18261041</t>
  </si>
  <si>
    <t>18261048</t>
  </si>
  <si>
    <t>18261059</t>
  </si>
  <si>
    <t>Project Description</t>
  </si>
  <si>
    <t>Project Number</t>
  </si>
  <si>
    <t>VOC Emissions Control – DD</t>
  </si>
  <si>
    <t>Huntsman SIS Project FEL3</t>
  </si>
  <si>
    <t>Demin Analyzer - FEED</t>
  </si>
  <si>
    <t>HCL Burner FEL3</t>
  </si>
  <si>
    <t>Overhead and Nonbillable</t>
  </si>
  <si>
    <t>Aruba Refinery Projects</t>
  </si>
  <si>
    <t>T1 Mole Sieve Moisture Analyze...</t>
  </si>
  <si>
    <t>T1-Differential Pressure Acros...</t>
  </si>
  <si>
    <t>1641802239 T1-DP Across Strain...</t>
  </si>
  <si>
    <t>1641802243 T2-DP Across Strain...</t>
  </si>
  <si>
    <t>Demin Analyzer - DD</t>
  </si>
  <si>
    <t>New Recycle Tank FEL3</t>
  </si>
  <si>
    <t>Replace Cell Liquor Tank 7 DD</t>
  </si>
  <si>
    <t>Breathing Air System Upgrade F...</t>
  </si>
  <si>
    <t>F-801 Replacement DD</t>
  </si>
  <si>
    <t>New Caustic Tank No3 FEL3</t>
  </si>
  <si>
    <t>Replace CDS Tank DD</t>
  </si>
  <si>
    <t>T-760 Upgrade DD</t>
  </si>
  <si>
    <t>Comp Time Used</t>
  </si>
  <si>
    <t>Railcar Unloading DD</t>
  </si>
  <si>
    <t>FW Sys Upg - Flare Area Automated Deluge Sys FEL2</t>
  </si>
  <si>
    <t>T-512 Replacement - DD</t>
  </si>
  <si>
    <t>1641702411 T1 Mole Sieve Moisture Anlyzr DD</t>
  </si>
  <si>
    <t>1641802415 T2 MS Moisture Analyzer DD</t>
  </si>
  <si>
    <t>1641802247-T3-DP Across Strainers - DD</t>
  </si>
  <si>
    <t>18234009: 1641702411 T1 Mole Sieve Moisture Anlyzr DD</t>
  </si>
  <si>
    <t>18234012: 1641802415 T2 MS Moisture Analyzer DD</t>
  </si>
  <si>
    <t>18234022: 1641802247-T3-DP Across Strainers - DD</t>
  </si>
  <si>
    <t>18000001: Comp Time Used</t>
  </si>
  <si>
    <t>18200006: Railcar Unloading DD</t>
  </si>
  <si>
    <t>18200009: FW Sys Upg - Flare Area Automated Deluge Sys FEL2</t>
  </si>
  <si>
    <t>18261114: T-512 Replacement - DD</t>
  </si>
  <si>
    <t>1641902419 T3 Mole Sieve Analyzer - DD</t>
  </si>
  <si>
    <t>18234026: 1641902419 T3 Mole Sieve Analyzer - DD</t>
  </si>
  <si>
    <t>1642002423 T4 Mole Sieve Analyzer - DD</t>
  </si>
  <si>
    <t>18234027: 1642002423 T4 Mole Sieve Analyzer - DD</t>
  </si>
  <si>
    <t xml:space="preserve"> </t>
  </si>
  <si>
    <t>Mechanical Integrity - E&amp;I Field Support</t>
  </si>
  <si>
    <t>18281020: Mechanical Integrity - E&amp;I Field Support</t>
  </si>
  <si>
    <t>Filter Press FEL-1</t>
  </si>
  <si>
    <t>18281049: Filter Press FEL-1</t>
  </si>
  <si>
    <t>HCL Storage Tank Nitrogen Pad DD</t>
  </si>
  <si>
    <t>18261112: HCL Storage Tank Nitrogen Pad DD</t>
  </si>
  <si>
    <t>6030: Project Closeout</t>
  </si>
  <si>
    <t>T4-DP Across Strainers - DD</t>
  </si>
  <si>
    <t>18234032: T4-DP Across Strainers - DD</t>
  </si>
  <si>
    <t>THF Lower Pressure Condensate Tank FEL-3</t>
  </si>
  <si>
    <t>18281036: THF Lower Pressure Condensate Tank FEL-3</t>
  </si>
  <si>
    <t>C Reactor Heater Cooler FEL-3</t>
  </si>
  <si>
    <t>18281037: C Reactor Heater Cooler FEL-3</t>
  </si>
  <si>
    <t>BDO Vent Scrubber FEL-3</t>
  </si>
  <si>
    <t>18281043: BDO Vent Scrubber FEL-3</t>
  </si>
  <si>
    <t>19000000: Overhead and Nonbillable</t>
  </si>
  <si>
    <t>19000001: Comp Time Used</t>
  </si>
  <si>
    <t>New Caustic Tank No. 3 - DD</t>
  </si>
  <si>
    <t>18261116: New Caustic Tank No. 3 - DD</t>
  </si>
  <si>
    <t>6060: Loop Diagrams</t>
  </si>
  <si>
    <t>Phase 2 PSA Unit Off-Sites Infastructure</t>
  </si>
  <si>
    <t>18138001: Phase 2 PSA Unit Off-Sites Infastructure</t>
  </si>
  <si>
    <t>1001: Project Management</t>
  </si>
  <si>
    <t>5007: Purchasing</t>
  </si>
  <si>
    <t>Wash Oil DD</t>
  </si>
  <si>
    <t>19140003: Wash Oil DD</t>
  </si>
  <si>
    <t>PSA Off Site Infrastructure DD</t>
  </si>
  <si>
    <t>19138001: PSA Off Site Infrastructure DD</t>
  </si>
  <si>
    <t>HCL Burner Upgrade - DD</t>
  </si>
  <si>
    <t>18261136: HCL Burner Upgrade - 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</si>
</sst>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4" formatCode="_(&quot;$&quot;* #,##0.00_);_(&quot;$&quot;* \(#,##0.00\);_(&quot;$&quot;* &quot;-&quot;??_);_(@_)"/>
    <numFmt numFmtId="164" formatCode="_(&quot;$&quot;* #,##0_);_(&quot;$&quot;* \(#,##0\);_(&quot;$&quot;* &quot;-&quot;??_);_(@_)"/>
    <numFmt numFmtId="165" formatCode="0.00_);[Red]\(0.00\)"/>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8"/>
      <color theme="1"/>
      <name val="Calibri"/>
      <family val="2"/>
      <scheme val="minor"/>
    </font>
    <font>
      <sz val="11"/>
      <name val="Calibri"/>
      <family val="2"/>
      <scheme val="minor"/>
    </font>
    <font>
      <b/>
      <sz val="11"/>
      <name val="Calibri"/>
      <family val="2"/>
      <scheme val="minor"/>
    </font>
    <font>
      <sz val="11"/>
      <color rgb="FF000000"/>
      <name val="Calibri"/>
      <family val="2"/>
    </font>
    <font>
      <sz val="8"/>
      <color theme="1"/>
      <name val="Calibri"/>
      <family val="2"/>
      <scheme val="minor"/>
    </font>
    <font>
      <sz val="9"/>
      <name val="Arial"/>
      <family val="2"/>
    </font>
    <font>
      <sz val="8"/>
      <color theme="1"/>
      <name val="Calibri"/>
      <family val="2"/>
      <scheme val="minor"/>
    </font>
  </fonts>
  <fills count="2">
    <fill>
      <patternFill patternType="none"/>
    </fill>
    <fill>
      <patternFill patternType="gray125"/>
    </fill>
  </fills>
  <borders count="2">
    <border>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3">
    <xf numFmtId="0" fontId="0" fillId="0" borderId="0"/>
    <xf numFmtId="44" fontId="1" fillId="0" borderId="0" applyFont="0" applyFill="0" applyBorder="0" applyAlignment="0" applyProtection="0"/>
    <xf numFmtId="0" fontId="8" fillId="0" borderId="0"/>
  </cellStyleXfs>
  <cellXfs count="31">
    <xf numFmtId="0" fontId="0" fillId="0" borderId="0" xfId="0"/>
    <xf numFmtId="0" fontId="3" fillId="0" borderId="0" xfId="0" applyFont="1"/>
    <xf numFmtId="14"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center" wrapText="1"/>
    </xf>
    <xf numFmtId="0" fontId="0" fillId="0" borderId="0" xfId="0" pivotButton="1"/>
    <xf numFmtId="0" fontId="0" fillId="0" borderId="0" xfId="0" applyNumberFormat="1"/>
    <xf numFmtId="0" fontId="2" fillId="0" borderId="1" xfId="0" applyFont="1" applyBorder="1"/>
    <xf numFmtId="0" fontId="3" fillId="0" borderId="0" xfId="0" applyNumberFormat="1" applyFont="1" applyAlignment="1">
      <alignment horizontal="center"/>
    </xf>
    <xf numFmtId="44" fontId="0" fillId="0" borderId="0" xfId="0" applyNumberFormat="1"/>
    <xf numFmtId="9" fontId="0" fillId="0" borderId="0" xfId="0" applyNumberFormat="1"/>
    <xf numFmtId="164" fontId="0" fillId="0" borderId="0" xfId="1" applyNumberFormat="1" applyFont="1"/>
    <xf numFmtId="9" fontId="4" fillId="0" borderId="0" xfId="0" applyNumberFormat="1" applyFont="1"/>
    <xf numFmtId="2" fontId="0" fillId="0" borderId="0" xfId="0" applyNumberFormat="1"/>
    <xf numFmtId="2" fontId="2" fillId="0" borderId="1" xfId="0" applyNumberFormat="1" applyFont="1" applyBorder="1"/>
    <xf numFmtId="165" fontId="4" fillId="0" borderId="0" xfId="0" applyNumberFormat="1" applyFont="1"/>
    <xf numFmtId="165" fontId="5" fillId="0" borderId="1" xfId="0" applyNumberFormat="1" applyFont="1" applyBorder="1"/>
    <xf numFmtId="165" fontId="5" fillId="0" borderId="0" xfId="0" applyNumberFormat="1" applyFont="1"/>
    <xf numFmtId="0" fontId="3" fillId="0" borderId="0" xfId="0" applyFont="1" applyAlignment="1">
      <alignment horizontal="left"/>
    </xf>
    <xf numFmtId="14" fontId="7" fillId="0" borderId="0" xfId="0" applyNumberFormat="1" applyFont="1" applyAlignment="1">
      <alignment horizontal="center"/>
    </xf>
    <xf numFmtId="0" fontId="7" fillId="0" borderId="0" xfId="0" applyNumberFormat="1" applyFont="1" applyAlignment="1">
      <alignment horizontal="center"/>
    </xf>
    <xf numFmtId="0" fontId="7" fillId="0" borderId="0" xfId="0" applyFont="1"/>
    <xf numFmtId="0" fontId="7" fillId="0" borderId="0" xfId="0" applyFont="1" applyAlignment="1">
      <alignment horizontal="center"/>
    </xf>
    <xf numFmtId="0" fontId="7" fillId="0" borderId="0" xfId="0" applyFont="1" applyAlignment="1">
      <alignment horizontal="left"/>
    </xf>
    <xf numFmtId="14" fontId="9" fillId="0" borderId="0" xfId="0" applyNumberFormat="1" applyFont="1" applyAlignment="1">
      <alignment horizontal="center"/>
    </xf>
    <xf numFmtId="0" fontId="9" fillId="0" borderId="0" xfId="0" applyNumberFormat="1" applyFont="1" applyAlignment="1">
      <alignment horizontal="center"/>
    </xf>
    <xf numFmtId="0" fontId="9" fillId="0" borderId="0" xfId="0" applyFont="1"/>
    <xf numFmtId="0" fontId="9" fillId="0" borderId="0" xfId="0" applyFont="1" applyAlignment="1">
      <alignment horizontal="center"/>
    </xf>
    <xf numFmtId="44" fontId="3" fillId="0" borderId="0" xfId="1" applyFont="1"/>
    <xf numFmtId="44" fontId="3" fillId="0" borderId="0" xfId="0" applyNumberFormat="1" applyFont="1"/>
    <xf numFmtId="0" fontId="0" fillId="0" borderId="0" xfId="0" applyFill="1"/>
  </cellXfs>
  <cellStyles count="3">
    <cellStyle name="Currency" xfId="1" builtinId="4"/>
    <cellStyle name="Normal" xfId="0" builtinId="0"/>
    <cellStyle name="Normal 8" xfId="2"/>
  </cellStyles>
  <dxfs count="43">
    <dxf>
      <font>
        <strike val="0"/>
        <outline val="0"/>
        <shadow val="0"/>
        <u val="none"/>
        <vertAlign val="baseline"/>
        <sz val="8"/>
        <color theme="1"/>
        <name val="Calibri"/>
        <scheme val="minor"/>
      </font>
      <numFmt numFmtId="0" formatCode="General"/>
      <alignment horizontal="center" vertical="bottom" textRotation="0" indent="0" justifyLastLine="0" shrinkToFit="0" readingOrder="0"/>
    </dxf>
    <dxf>
      <font>
        <strike val="0"/>
        <outline val="0"/>
        <shadow val="0"/>
        <u val="none"/>
        <vertAlign val="baseline"/>
        <sz val="8"/>
        <color theme="1"/>
        <name val="Calibri"/>
        <scheme val="minor"/>
      </font>
      <numFmt numFmtId="0" formatCode="General"/>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b val="0"/>
        <i val="0"/>
        <strike val="0"/>
        <condense val="0"/>
        <extend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dxf>
    <dxf>
      <font>
        <strike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alignment horizontal="left"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indent="0" justifyLastLine="0" shrinkToFit="0" readingOrder="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color theme="9" tint="-0.499984740745262"/>
      </font>
      <fill>
        <patternFill>
          <bgColor theme="9" tint="0.39994506668294322"/>
        </patternFill>
      </fill>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8"/>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alignment horizontal="center" vertical="bottom" textRotation="0" wrapText="0" indent="0" justifyLastLine="0" shrinkToFit="0" readingOrder="0"/>
    </dxf>
    <dxf>
      <font>
        <strike val="0"/>
        <outline val="0"/>
        <shadow val="0"/>
        <u val="none"/>
        <vertAlign val="baseline"/>
        <sz val="8"/>
        <color theme="1"/>
        <name val="Calibri"/>
        <scheme val="minor"/>
      </font>
    </dxf>
    <dxf>
      <font>
        <strike val="0"/>
        <outline val="0"/>
        <shadow val="0"/>
        <u val="none"/>
        <vertAlign val="baseline"/>
        <sz val="8"/>
        <color theme="1"/>
        <name val="Calibri"/>
        <scheme val="minor"/>
      </font>
    </dxf>
    <dxf>
      <font>
        <b val="0"/>
        <i val="0"/>
        <strike val="0"/>
        <condense val="0"/>
        <extend val="0"/>
        <outline val="0"/>
        <shadow val="0"/>
        <u val="none"/>
        <vertAlign val="baseline"/>
        <sz val="8"/>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8"/>
        <color theme="1"/>
        <name val="Calibri"/>
        <scheme val="minor"/>
      </font>
      <numFmt numFmtId="19" formatCode="m/d/yyyy"/>
      <alignment horizontal="center" vertical="bottom" textRotation="0" wrapText="0" indent="0" justifyLastLine="0" shrinkToFit="0" readingOrder="0"/>
    </dxf>
    <dxf>
      <font>
        <strike val="0"/>
        <outline val="0"/>
        <shadow val="0"/>
        <u val="none"/>
        <vertAlign val="baseline"/>
        <sz val="8"/>
        <color theme="1"/>
        <name val="Calibri"/>
        <scheme val="minor"/>
      </font>
    </dxf>
    <dxf>
      <border>
        <right style="thin">
          <color theme="0" tint="-0.499984740745262"/>
        </right>
        <vertical/>
        <horizontal/>
      </border>
    </dxf>
    <dxf>
      <numFmt numFmtId="166" formatCode=";;;"/>
    </dxf>
    <dxf>
      <font>
        <b/>
        <i val="0"/>
      </font>
      <border>
        <top style="thin">
          <color theme="0" tint="-0.499984740745262"/>
        </top>
        <bottom style="thin">
          <color theme="0" tint="-0.499984740745262"/>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externalLink" Target="externalLinks/externalLink4.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theme" Target="theme/theme1.xml"/><Relationship Id="rId10" Type="http://schemas.openxmlformats.org/officeDocument/2006/relationships/externalLink" Target="externalLinks/externalLink7.xml"/><Relationship Id="rId19" Type="http://schemas.openxmlformats.org/officeDocument/2006/relationships/powerPivotData" Target="model/item.data"/><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microsoft.com/office/2007/relationships/slicerCache" Target="slicerCaches/slicerCach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66675</xdr:colOff>
      <xdr:row>0</xdr:row>
      <xdr:rowOff>47626</xdr:rowOff>
    </xdr:from>
    <xdr:to>
      <xdr:col>0</xdr:col>
      <xdr:colOff>1895475</xdr:colOff>
      <xdr:row>1</xdr:row>
      <xdr:rowOff>514350</xdr:rowOff>
    </xdr:to>
    <mc:AlternateContent xmlns:mc="http://schemas.openxmlformats.org/markup-compatibility/2006" xmlns:a14="http://schemas.microsoft.com/office/drawing/2010/main">
      <mc:Choice Requires="a14">
        <xdr:graphicFrame macro="">
          <xdr:nvGraphicFramePr>
            <xdr:cNvPr id="2" name="IsActive"/>
            <xdr:cNvGraphicFramePr/>
          </xdr:nvGraphicFramePr>
          <xdr:xfrm>
            <a:off x="0" y="0"/>
            <a:ext cx="0" cy="0"/>
          </xdr:xfrm>
          <a:graphic>
            <a:graphicData uri="http://schemas.microsoft.com/office/drawing/2010/slicer">
              <sle:slicer xmlns:sle="http://schemas.microsoft.com/office/drawing/2010/slicer" name="IsActive"/>
            </a:graphicData>
          </a:graphic>
        </xdr:graphicFrame>
      </mc:Choice>
      <mc:Fallback xmlns="">
        <xdr:sp macro="" textlink="">
          <xdr:nvSpPr>
            <xdr:cNvPr id="0" name=""/>
            <xdr:cNvSpPr>
              <a:spLocks noTextEdit="1"/>
            </xdr:cNvSpPr>
          </xdr:nvSpPr>
          <xdr:spPr>
            <a:xfrm>
              <a:off x="66675" y="47626"/>
              <a:ext cx="1828800" cy="657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0</xdr:col>
          <xdr:colOff>2162175</xdr:colOff>
          <xdr:row>1</xdr:row>
          <xdr:rowOff>304800</xdr:rowOff>
        </xdr:from>
        <xdr:to>
          <xdr:col>7</xdr:col>
          <xdr:colOff>504825</xdr:colOff>
          <xdr:row>1</xdr:row>
          <xdr:rowOff>533400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Time (For Opened Timesheet)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2162175</xdr:colOff>
          <xdr:row>0</xdr:row>
          <xdr:rowOff>0</xdr:rowOff>
        </xdr:from>
        <xdr:to>
          <xdr:col>7</xdr:col>
          <xdr:colOff>504825</xdr:colOff>
          <xdr:row>1</xdr:row>
          <xdr:rowOff>38100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Timesheet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2162175</xdr:colOff>
          <xdr:row>1</xdr:row>
          <xdr:rowOff>57150</xdr:rowOff>
        </xdr:from>
        <xdr:to>
          <xdr:col>7</xdr:col>
          <xdr:colOff>504825</xdr:colOff>
          <xdr:row>1</xdr:row>
          <xdr:rowOff>285750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My Project List From Timesheet Drop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523875</xdr:colOff>
          <xdr:row>0</xdr:row>
          <xdr:rowOff>0</xdr:rowOff>
        </xdr:from>
        <xdr:to>
          <xdr:col>11</xdr:col>
          <xdr:colOff>847725</xdr:colOff>
          <xdr:row>1</xdr:row>
          <xdr:rowOff>38100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Request Project(s) to be added to Timesheet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KOCH\SPEC_S\DELETED.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KOCH\SPEC_S\LGX0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D:\KOCH\SPEC_S\FEX01.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FORMS\Specification%20Forms\Original%20Forms\Excell%2097\Allinon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L:\KOCH\SPEC_S\PVX0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KOCH\SPEC_S\PVX01.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L:\KOCH\SPEC_S\DELETED.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L:\KOCH\SPEC_S\TWB01.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07 DEL"/>
    </sheetNames>
    <sheetDataSet>
      <sheetData sheetId="0">
        <row r="1">
          <cell r="A1" t="str">
            <v>PROJECT:</v>
          </cell>
        </row>
        <row r="8">
          <cell r="I8" t="str">
            <v>BY</v>
          </cell>
          <cell r="J8" t="str">
            <v>CHK'D</v>
          </cell>
          <cell r="K8" t="str">
            <v xml:space="preserve">  APPR.</v>
          </cell>
        </row>
        <row r="9">
          <cell r="I9" t="str">
            <v>DLM</v>
          </cell>
        </row>
        <row r="10">
          <cell r="B10">
            <v>1</v>
          </cell>
          <cell r="C10" t="str">
            <v>TAG NUMBER</v>
          </cell>
          <cell r="G10" t="str">
            <v>PT-01007</v>
          </cell>
        </row>
        <row r="11">
          <cell r="B11">
            <v>1.1000000000000001</v>
          </cell>
          <cell r="C11" t="str">
            <v>SERVICE</v>
          </cell>
          <cell r="G11" t="str">
            <v>DELETED</v>
          </cell>
        </row>
        <row r="12">
          <cell r="D12" t="str">
            <v>DELETED</v>
          </cell>
          <cell r="G12" t="str">
            <v>C-0101 INLET PRESSURE</v>
          </cell>
        </row>
        <row r="13">
          <cell r="B13">
            <v>1.2</v>
          </cell>
          <cell r="C13" t="str">
            <v>LINE NUMBER OR VESSEL</v>
          </cell>
          <cell r="G13" t="str">
            <v>HC-03502-20"-C1-1</v>
          </cell>
        </row>
        <row r="14">
          <cell r="B14">
            <v>2</v>
          </cell>
          <cell r="C14" t="str">
            <v>FUNCTION</v>
          </cell>
          <cell r="G14" t="str">
            <v>TRANSMITTER</v>
          </cell>
        </row>
        <row r="15">
          <cell r="B15">
            <v>2.1</v>
          </cell>
          <cell r="C15" t="str">
            <v>SERVICE MEASUREMENT TYPE</v>
          </cell>
          <cell r="G15" t="str">
            <v>PRESSURE</v>
          </cell>
        </row>
        <row r="16">
          <cell r="A16" t="str">
            <v>GENERAL</v>
          </cell>
          <cell r="B16">
            <v>3</v>
          </cell>
          <cell r="C16" t="str">
            <v>CASE</v>
          </cell>
          <cell r="G16" t="str">
            <v>POLYURETHANE.COVERED ALUMINUM</v>
          </cell>
        </row>
        <row r="17">
          <cell r="B17">
            <v>4</v>
          </cell>
          <cell r="C17" t="str">
            <v>MOUNTING</v>
          </cell>
          <cell r="G17" t="str">
            <v>DIRECT MOUNT TO TBV MANIFOLD</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501"/>
      <sheetName val="01502"/>
      <sheetName val="01503"/>
      <sheetName val="02501"/>
      <sheetName val="03001"/>
      <sheetName val="03501"/>
      <sheetName val="32001"/>
      <sheetName val="35002"/>
      <sheetName val="36001"/>
      <sheetName val="36011"/>
      <sheetName val="37001"/>
      <sheetName val="38001"/>
      <sheetName val="38002"/>
      <sheetName val="40001"/>
      <sheetName val="40501"/>
      <sheetName val="40504"/>
      <sheetName val="40506"/>
      <sheetName val="41001"/>
      <sheetName val="41004"/>
      <sheetName val="41006"/>
      <sheetName val="41501"/>
      <sheetName val="41504"/>
      <sheetName val="44001A1"/>
      <sheetName val="44001A2"/>
      <sheetName val="44001B1"/>
      <sheetName val="44001B2"/>
      <sheetName val="44001C1"/>
      <sheetName val="44001C2"/>
      <sheetName val="44001D1"/>
      <sheetName val="44001D2"/>
      <sheetName val="44001E1"/>
      <sheetName val="44001E2"/>
      <sheetName val="44001E3"/>
      <sheetName val="44001F1"/>
      <sheetName val="44001F2"/>
      <sheetName val="44001F3"/>
      <sheetName val="44001G1"/>
      <sheetName val="44001G2"/>
      <sheetName val="44001G3"/>
      <sheetName val="44001H1"/>
      <sheetName val="44001H2"/>
      <sheetName val="44001H3"/>
    </sheetNames>
    <sheetDataSet>
      <sheetData sheetId="0" refreshError="1"/>
      <sheetData sheetId="1">
        <row r="1">
          <cell r="A1" t="str">
            <v>PROJECT:</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01001"/>
      <sheetName val="FE01005"/>
      <sheetName val="FE01012"/>
      <sheetName val="FE02001"/>
      <sheetName val="FE02005 "/>
      <sheetName val="FE02012"/>
      <sheetName val="FE11010"/>
      <sheetName val="FE13502"/>
      <sheetName val="FE13505A"/>
      <sheetName val="FE13505B"/>
      <sheetName val="FE13505C"/>
      <sheetName val="FE13505D"/>
      <sheetName val="FE13505E"/>
      <sheetName val="FE13505F"/>
      <sheetName val="FE13505G"/>
      <sheetName val="FE13505H"/>
      <sheetName val="FE13505J"/>
      <sheetName val="FE13505K"/>
      <sheetName val="FE13505L"/>
      <sheetName val="FE13505M"/>
      <sheetName val="FE13511"/>
      <sheetName val="FE32009"/>
      <sheetName val="FE36002"/>
      <sheetName val="FE36005"/>
      <sheetName val="FE36009"/>
      <sheetName val="FE37002"/>
      <sheetName val="FE37009"/>
      <sheetName val="FE40011"/>
      <sheetName val="FE40012"/>
      <sheetName val="FE40013"/>
      <sheetName val="FE40505"/>
      <sheetName val="FE40510"/>
      <sheetName val="FE41005"/>
      <sheetName val="FE45510"/>
      <sheetName val="FE81504"/>
      <sheetName val="RO01024"/>
      <sheetName val="RO02024 "/>
      <sheetName val="RO36026"/>
    </sheetNames>
    <sheetDataSet>
      <sheetData sheetId="0" refreshError="1"/>
      <sheetData sheetId="1" refreshError="1"/>
      <sheetData sheetId="2">
        <row r="1">
          <cell r="A1" t="str">
            <v>PROJECT:</v>
          </cell>
        </row>
        <row r="8">
          <cell r="I8" t="str">
            <v>BY</v>
          </cell>
          <cell r="J8" t="str">
            <v>CHK'D</v>
          </cell>
          <cell r="K8" t="str">
            <v xml:space="preserve">  APPR.</v>
          </cell>
        </row>
        <row r="9">
          <cell r="I9" t="str">
            <v>DLM</v>
          </cell>
          <cell r="J9" t="str">
            <v>DHR</v>
          </cell>
        </row>
        <row r="10">
          <cell r="B10">
            <v>0.1</v>
          </cell>
          <cell r="C10" t="str">
            <v>TAG NUMBER</v>
          </cell>
          <cell r="G10" t="str">
            <v>FE-01012</v>
          </cell>
        </row>
        <row r="11">
          <cell r="B11">
            <v>0.2</v>
          </cell>
          <cell r="C11" t="str">
            <v>SERVICE</v>
          </cell>
        </row>
        <row r="12">
          <cell r="A12" t="str">
            <v>GENERAL</v>
          </cell>
          <cell r="G12" t="str">
            <v>FUEL SUPPLY TO TURBINE C-0101</v>
          </cell>
        </row>
        <row r="13">
          <cell r="B13">
            <v>0.3</v>
          </cell>
          <cell r="C13" t="str">
            <v>LINE NUMBER OR VESSEL</v>
          </cell>
          <cell r="G13" t="str">
            <v>NG-01008-3"-C1</v>
          </cell>
        </row>
        <row r="14">
          <cell r="B14">
            <v>0.4</v>
          </cell>
          <cell r="C14" t="str">
            <v>LINE SIZE</v>
          </cell>
          <cell r="D14" t="str">
            <v>SCHEDULE NUMBER</v>
          </cell>
          <cell r="G14" t="str">
            <v>3" SCH 40</v>
          </cell>
        </row>
        <row r="17">
          <cell r="B17">
            <v>1</v>
          </cell>
          <cell r="C17" t="str">
            <v>BORE SHAPE</v>
          </cell>
          <cell r="G17" t="str">
            <v>CONCENTRIC</v>
          </cell>
        </row>
        <row r="18">
          <cell r="B18">
            <v>2</v>
          </cell>
          <cell r="C18" t="str">
            <v>ISA STANDARD</v>
          </cell>
          <cell r="G18" t="str">
            <v>YES</v>
          </cell>
        </row>
        <row r="19">
          <cell r="B19">
            <v>3</v>
          </cell>
          <cell r="C19" t="str">
            <v>BORE MEAS. REQ. (MAX.RATE/STD BORE)</v>
          </cell>
          <cell r="G19" t="str">
            <v>MAX RATE</v>
          </cell>
        </row>
        <row r="20">
          <cell r="B20">
            <v>4</v>
          </cell>
          <cell r="C20" t="str">
            <v xml:space="preserve">MATERIAL --   PLATE </v>
          </cell>
          <cell r="G20" t="str">
            <v>316SS</v>
          </cell>
        </row>
        <row r="21">
          <cell r="B21">
            <v>4.0999999999999996</v>
          </cell>
          <cell r="C21" t="str">
            <v>BORE TYPE</v>
          </cell>
          <cell r="G21" t="str">
            <v>SHARP EDGE</v>
          </cell>
        </row>
        <row r="22">
          <cell r="A22" t="str">
            <v>ORIFICE PLATES</v>
          </cell>
          <cell r="B22">
            <v>4.2</v>
          </cell>
          <cell r="C22" t="str">
            <v>PLATE THICKNESS</v>
          </cell>
          <cell r="G22" t="str">
            <v>I/8"</v>
          </cell>
        </row>
        <row r="23">
          <cell r="B23">
            <v>4.3</v>
          </cell>
          <cell r="C23" t="str">
            <v>VENT OR DRAIN HOLE</v>
          </cell>
          <cell r="G23" t="str">
            <v>NONE</v>
          </cell>
        </row>
        <row r="24">
          <cell r="B24">
            <v>4.4000000000000004</v>
          </cell>
          <cell r="C24" t="str">
            <v>LINE I.D. (INCHES)</v>
          </cell>
          <cell r="G24" t="str">
            <v>3.068</v>
          </cell>
        </row>
        <row r="25">
          <cell r="B25">
            <v>4.5</v>
          </cell>
          <cell r="C25" t="str">
            <v>BETA RATIO = d/D</v>
          </cell>
          <cell r="G25" t="str">
            <v>.6639</v>
          </cell>
        </row>
        <row r="26">
          <cell r="B26">
            <v>4.5999999999999996</v>
          </cell>
          <cell r="C26" t="str">
            <v>ORIFICE BORE DIAMETER (INCHES)</v>
          </cell>
          <cell r="G26" t="str">
            <v>2.0368</v>
          </cell>
        </row>
        <row r="27">
          <cell r="B27">
            <v>5</v>
          </cell>
          <cell r="C27" t="str">
            <v>RING MATERIAL  /  TYPE</v>
          </cell>
          <cell r="G27" t="str">
            <v>N/A</v>
          </cell>
        </row>
        <row r="29">
          <cell r="B29">
            <v>6</v>
          </cell>
          <cell r="C29" t="str">
            <v>MANUFACTURER</v>
          </cell>
          <cell r="G29" t="str">
            <v>DANIELS</v>
          </cell>
        </row>
        <row r="30">
          <cell r="B30">
            <v>6.1</v>
          </cell>
          <cell r="C30" t="str">
            <v>MODEL NUMBER</v>
          </cell>
          <cell r="G30" t="str">
            <v>520 OR EQUAL</v>
          </cell>
        </row>
        <row r="32">
          <cell r="A32" t="str">
            <v>METER</v>
          </cell>
          <cell r="B32">
            <v>6.2</v>
          </cell>
          <cell r="C32" t="str">
            <v>DIFFERENTIAL RANGE</v>
          </cell>
          <cell r="G32" t="str">
            <v>0 TO 25.02" W.C.</v>
          </cell>
        </row>
        <row r="34">
          <cell r="B34">
            <v>7</v>
          </cell>
          <cell r="C34" t="str">
            <v>TAP LOCATION (FL,VC,PIPE)</v>
          </cell>
          <cell r="G34" t="str">
            <v>FLANGE</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AST00"/>
      <sheetName val="01AST01"/>
      <sheetName val="02AST01"/>
      <sheetName val="02BST01"/>
      <sheetName val="03BST01"/>
      <sheetName val="03BST02"/>
      <sheetName val="03CST01"/>
      <sheetName val="10AST01"/>
      <sheetName val="11AST01"/>
      <sheetName val="12AST01"/>
      <sheetName val="13AST01"/>
      <sheetName val="14AST01"/>
      <sheetName val="20AST01"/>
      <sheetName val="21AST01"/>
      <sheetName val="22AST01"/>
      <sheetName val="23AST01"/>
      <sheetName val="24AST01"/>
      <sheetName val="25AST01"/>
      <sheetName val="26AST01"/>
      <sheetName val="27AST01"/>
      <sheetName val="28AST01"/>
      <sheetName val="40AST01"/>
      <sheetName val="42AST01"/>
      <sheetName val="50AST01"/>
      <sheetName val="51AST01"/>
      <sheetName val="52AST01"/>
      <sheetName val="53AST01"/>
      <sheetName val="54AST01"/>
      <sheetName val="55AST01"/>
      <sheetName val="62AST01"/>
    </sheetNames>
    <sheetDataSet>
      <sheetData sheetId="0">
        <row r="1">
          <cell r="A1" t="str">
            <v>PROJECT: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CV-01025"/>
      <sheetName val="PCV-30002"/>
      <sheetName val="PCV-31002"/>
      <sheetName val="PCV-32014"/>
      <sheetName val="PCV-81606"/>
      <sheetName val="PCV-05019"/>
    </sheetNames>
    <sheetDataSet>
      <sheetData sheetId="0">
        <row r="1">
          <cell r="A1" t="str">
            <v>PROJECT:</v>
          </cell>
        </row>
      </sheetData>
      <sheetData sheetId="1" refreshError="1"/>
      <sheetData sheetId="2" refreshError="1"/>
      <sheetData sheetId="3" refreshError="1"/>
      <sheetData sheetId="4" refreshError="1"/>
      <sheetData sheetId="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CV-01025"/>
      <sheetName val="PCV-30002"/>
      <sheetName val="PCV-31002"/>
      <sheetName val="PCV-32014"/>
      <sheetName val="PCV-81606"/>
      <sheetName val="PCV-05019"/>
    </sheetNames>
    <sheetDataSet>
      <sheetData sheetId="0">
        <row r="1">
          <cell r="A1" t="str">
            <v>PROJECT:</v>
          </cell>
        </row>
      </sheetData>
      <sheetData sheetId="1" refreshError="1"/>
      <sheetData sheetId="2" refreshError="1"/>
      <sheetData sheetId="3" refreshError="1"/>
      <sheetData sheetId="4" refreshError="1"/>
      <sheetData sheetId="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1007 DEL"/>
    </sheetNames>
    <sheetDataSet>
      <sheetData sheetId="0">
        <row r="1">
          <cell r="A1" t="str">
            <v>PROJECT:</v>
          </cell>
        </row>
        <row r="8">
          <cell r="I8" t="str">
            <v>BY</v>
          </cell>
          <cell r="J8" t="str">
            <v>CHK'D</v>
          </cell>
          <cell r="K8" t="str">
            <v xml:space="preserve">  APPR.</v>
          </cell>
        </row>
        <row r="9">
          <cell r="I9" t="str">
            <v>DLM</v>
          </cell>
        </row>
        <row r="10">
          <cell r="B10">
            <v>1</v>
          </cell>
          <cell r="C10" t="str">
            <v>TAG NUMBER</v>
          </cell>
          <cell r="G10" t="str">
            <v>PT-01007</v>
          </cell>
        </row>
        <row r="11">
          <cell r="B11">
            <v>1.1000000000000001</v>
          </cell>
          <cell r="C11" t="str">
            <v>SERVICE</v>
          </cell>
          <cell r="G11" t="str">
            <v>DELETED</v>
          </cell>
        </row>
        <row r="12">
          <cell r="D12" t="str">
            <v>DELETED</v>
          </cell>
          <cell r="G12" t="str">
            <v>C-0101 INLET PRESSURE</v>
          </cell>
        </row>
        <row r="13">
          <cell r="B13">
            <v>1.2</v>
          </cell>
          <cell r="C13" t="str">
            <v>LINE NUMBER OR VESSEL</v>
          </cell>
          <cell r="G13" t="str">
            <v>HC-03502-20"-C1-1</v>
          </cell>
        </row>
        <row r="14">
          <cell r="B14">
            <v>2</v>
          </cell>
          <cell r="C14" t="str">
            <v>FUNCTION</v>
          </cell>
          <cell r="G14" t="str">
            <v>TRANSMITTER</v>
          </cell>
        </row>
        <row r="15">
          <cell r="B15">
            <v>2.1</v>
          </cell>
          <cell r="C15" t="str">
            <v>SERVICE MEASUREMENT TYPE</v>
          </cell>
          <cell r="G15" t="str">
            <v>PRESSURE</v>
          </cell>
        </row>
        <row r="16">
          <cell r="A16" t="str">
            <v>GENERAL</v>
          </cell>
          <cell r="B16">
            <v>3</v>
          </cell>
          <cell r="C16" t="str">
            <v>CASE</v>
          </cell>
          <cell r="G16" t="str">
            <v>POLYURETHANE.COVERED ALUMINUM</v>
          </cell>
        </row>
        <row r="17">
          <cell r="B17">
            <v>4</v>
          </cell>
          <cell r="C17" t="str">
            <v>MOUNTING</v>
          </cell>
          <cell r="G17" t="str">
            <v>DIRECT MOUNT TO TBV MANIFOLD</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W-02503A"/>
      <sheetName val="TW-02503B"/>
      <sheetName val="TW-02503C"/>
      <sheetName val="TW-02503D"/>
      <sheetName val="TW-02504A"/>
      <sheetName val="TW-02504B"/>
      <sheetName val="TW-02504C"/>
      <sheetName val="TW-02504D"/>
      <sheetName val="TW-02505A"/>
      <sheetName val="TW-02505B"/>
      <sheetName val="TW-02505C"/>
      <sheetName val="TW-02505D"/>
      <sheetName val="TW-02506A"/>
      <sheetName val="TW-02506B"/>
      <sheetName val="TW-02506C"/>
      <sheetName val="TW-02506D"/>
      <sheetName val="TW-32015"/>
      <sheetName val="TW-32016"/>
      <sheetName val="TW-32017"/>
      <sheetName val="TW-32018"/>
      <sheetName val="TW-36012A"/>
      <sheetName val="TW-36012B"/>
      <sheetName val="TW-36013A"/>
      <sheetName val="TW-36013B"/>
      <sheetName val="TW-36014A"/>
      <sheetName val="TW-36014B"/>
      <sheetName val="TW-36015A"/>
      <sheetName val="TW-36015B"/>
      <sheetName val="TW-36019"/>
      <sheetName val="TW-36021"/>
      <sheetName val="TW-36022"/>
      <sheetName val="TW-36023"/>
      <sheetName val="TW-37010"/>
      <sheetName val="TW-37011"/>
      <sheetName val="TW-37012"/>
      <sheetName val="TW-37013"/>
      <sheetName val="TW-39003"/>
      <sheetName val="TW-39004"/>
      <sheetName val="TW-39005"/>
      <sheetName val="TW-39006"/>
      <sheetName val="TW-39007"/>
      <sheetName val="TW-39008"/>
      <sheetName val="TW-39009"/>
      <sheetName val="TW-39010"/>
      <sheetName val="TW-40019"/>
      <sheetName val="TW-40020"/>
      <sheetName val="TW-40021"/>
    </sheetNames>
    <sheetDataSet>
      <sheetData sheetId="0">
        <row r="1">
          <cell r="A1" t="str">
            <v>PROJECT:</v>
          </cell>
        </row>
        <row r="8">
          <cell r="I8" t="str">
            <v>BY</v>
          </cell>
          <cell r="J8" t="str">
            <v>CHK'D</v>
          </cell>
          <cell r="K8" t="str">
            <v xml:space="preserve">  APPR.</v>
          </cell>
        </row>
        <row r="9">
          <cell r="I9" t="str">
            <v>GPW</v>
          </cell>
          <cell r="J9" t="str">
            <v>DHR</v>
          </cell>
        </row>
        <row r="10">
          <cell r="B10">
            <v>0.1</v>
          </cell>
          <cell r="C10" t="str">
            <v>TAG NO.</v>
          </cell>
          <cell r="G10" t="str">
            <v>TW/TI-02503A</v>
          </cell>
        </row>
        <row r="11">
          <cell r="B11">
            <v>0.2</v>
          </cell>
          <cell r="C11" t="str">
            <v>SERVICE</v>
          </cell>
          <cell r="G11" t="str">
            <v>REFRIGERANT TO CONDENSER</v>
          </cell>
        </row>
        <row r="13">
          <cell r="B13">
            <v>0.3</v>
          </cell>
          <cell r="C13" t="str">
            <v>LINE NUMBER OR VESSEL</v>
          </cell>
          <cell r="G13" t="str">
            <v>E-0251A</v>
          </cell>
        </row>
        <row r="14">
          <cell r="A14" t="str">
            <v>GENERAL</v>
          </cell>
          <cell r="B14">
            <v>1</v>
          </cell>
          <cell r="C14" t="str">
            <v>COMPLETE ASSEMBLY</v>
          </cell>
          <cell r="G14" t="str">
            <v>YES, WELL &amp; THERMOMETER</v>
          </cell>
        </row>
        <row r="15">
          <cell r="B15">
            <v>1.1000000000000001</v>
          </cell>
          <cell r="C15" t="str">
            <v>OTHER</v>
          </cell>
          <cell r="G15" t="str">
            <v>N/A</v>
          </cell>
        </row>
        <row r="21">
          <cell r="B21">
            <v>2</v>
          </cell>
          <cell r="C21" t="str">
            <v>ISA TYPE  /  WIRE SIZE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David W. Landry" refreshedDate="43542.431796990742" backgroundQuery="1" createdVersion="6" refreshedVersion="6" minRefreshableVersion="3" recordCount="0" supportSubquery="1" supportAdvancedDrill="1">
  <cacheSource type="external" connectionId="1"/>
  <cacheFields count="6">
    <cacheField name="[Measures].[Sum of Inst Eng Budget]" caption="Sum of Inst Eng Budget" numFmtId="0" hierarchy="39" level="32767"/>
    <cacheField name="[Measures].[Sum of Elec Eng Budget]" caption="Sum of Elec Eng Budget" numFmtId="0" hierarchy="40" level="32767"/>
    <cacheField name="[Measures].[Sum of IE Hrs]" caption="Sum of IE Hrs" numFmtId="0" hierarchy="41" level="32767"/>
    <cacheField name="[Measures].[Sum of EE Hrs]" caption="Sum of EE Hrs" numFmtId="0" hierarchy="42" level="32767"/>
    <cacheField name="[tbl_projects].[IsActive].[IsActive]" caption="IsActive" numFmtId="0" hierarchy="5" level="1">
      <sharedItems containsSemiMixedTypes="0" containsNonDate="0" containsString="0"/>
    </cacheField>
    <cacheField name="[tbl_projects].[Project].[Project]" caption="Project" numFmtId="0" hierarchy="2" level="1">
      <sharedItems count="20">
        <s v="18138001: Phase 2 PSA Unit Off-Sites Infastructure"/>
        <s v="18200006: Railcar Unloading DD"/>
        <s v="18234009: 1641702411 T1 Mole Sieve Moisture Anlyzr DD"/>
        <s v="18234012: 1641802415 T2 MS Moisture Analyzer DD"/>
        <s v="18234023: Demin Analyzer - DD"/>
        <s v="18234026: 1641902419 T3 Mole Sieve Analyzer - DD"/>
        <s v="18234027: 1642002423 T4 Mole Sieve Analyzer - DD"/>
        <s v="18234032: T4-DP Across Strainers - DD"/>
        <s v="18261014: F-801 Replacement DD"/>
        <s v="18261059: T-760 Upgrade DD"/>
        <s v="18261112: HCL Storage Tank Nitrogen Pad DD"/>
        <s v="18261116: New Caustic Tank No. 3 - DD"/>
        <s v="18261136: HCL Burner Upgrade - DD"/>
        <s v="18281020: Mechanical Integrity - E&amp;I Field Support"/>
        <s v="18281036: THF Lower Pressure Condensate Tank FEL-3"/>
        <s v="18281037: C Reactor Heater Cooler FEL-3"/>
        <s v="18281043: BDO Vent Scrubber FEL-3"/>
        <s v="18281049: Filter Press FEL-1"/>
        <s v="19138001: PSA Off Site Infrastructure DD"/>
        <s v="19140003: Wash Oil DD"/>
      </sharedItems>
    </cacheField>
  </cacheFields>
  <cacheHierarchies count="43">
    <cacheHierarchy uniqueName="[tbl_projects].[Project Number]" caption="Project Number" attribute="1" defaultMemberUniqueName="[tbl_projects].[Project Number].[All]" allUniqueName="[tbl_projects].[Project Number].[All]" dimensionUniqueName="[tbl_projects]" displayFolder="" count="0" memberValueDatatype="130" unbalanced="0"/>
    <cacheHierarchy uniqueName="[tbl_projects].[Project Description]" caption="Project Description" attribute="1" defaultMemberUniqueName="[tbl_projects].[Project Description].[All]" allUniqueName="[tbl_projects].[Project Description].[All]" dimensionUniqueName="[tbl_projects]" displayFolder="" count="0" memberValueDatatype="130" unbalanced="0"/>
    <cacheHierarchy uniqueName="[tbl_projects].[Project]" caption="Project" attribute="1" defaultMemberUniqueName="[tbl_projects].[Project].[All]" allUniqueName="[tbl_projects].[Project].[All]" dimensionUniqueName="[tbl_projects]" displayFolder="" count="2" memberValueDatatype="130" unbalanced="0">
      <fieldsUsage count="2">
        <fieldUsage x="-1"/>
        <fieldUsage x="5"/>
      </fieldsUsage>
    </cacheHierarchy>
    <cacheHierarchy uniqueName="[tbl_projects].[Responsible for IE]" caption="Responsible for IE" attribute="1" defaultMemberUniqueName="[tbl_projects].[Responsible for IE].[All]" allUniqueName="[tbl_projects].[Responsible for IE].[All]" dimensionUniqueName="[tbl_projects]" displayFolder="" count="0" memberValueDatatype="130" unbalanced="0"/>
    <cacheHierarchy uniqueName="[tbl_projects].[Responsible for EE]" caption="Responsible for EE" attribute="1" defaultMemberUniqueName="[tbl_projects].[Responsible for EE].[All]" allUniqueName="[tbl_projects].[Responsible for EE].[All]" dimensionUniqueName="[tbl_projects]" displayFolder="" count="0" memberValueDatatype="130" unbalanced="0"/>
    <cacheHierarchy uniqueName="[tbl_projects].[IsActive]" caption="IsActive" attribute="1" defaultMemberUniqueName="[tbl_projects].[IsActive].[All]" allUniqueName="[tbl_projects].[IsActive].[All]" dimensionUniqueName="[tbl_projects]" displayFolder="" count="2" memberValueDatatype="11" unbalanced="0">
      <fieldsUsage count="2">
        <fieldUsage x="-1"/>
        <fieldUsage x="4"/>
      </fieldsUsage>
    </cacheHierarchy>
    <cacheHierarchy uniqueName="[tbl_projects].[Orig Budget IE]" caption="Orig Budget IE" attribute="1" defaultMemberUniqueName="[tbl_projects].[Orig Budget IE].[All]" allUniqueName="[tbl_projects].[Orig Budget IE].[All]" dimensionUniqueName="[tbl_projects]" displayFolder="" count="0" memberValueDatatype="20" unbalanced="0"/>
    <cacheHierarchy uniqueName="[tbl_projects].[Orig Budget EE]" caption="Orig Budget EE" attribute="1" defaultMemberUniqueName="[tbl_projects].[Orig Budget EE].[All]" allUniqueName="[tbl_projects].[Orig Budget EE].[All]" dimensionUniqueName="[tbl_projects]" displayFolder="" count="0" memberValueDatatype="20" unbalanced="0"/>
    <cacheHierarchy uniqueName="[tbl_projects].[CO 1 NUM]" caption="CO 1 NUM" attribute="1" defaultMemberUniqueName="[tbl_projects].[CO 1 NUM].[All]" allUniqueName="[tbl_projects].[CO 1 NUM].[All]" dimensionUniqueName="[tbl_projects]" displayFolder="" count="0" memberValueDatatype="130" unbalanced="0"/>
    <cacheHierarchy uniqueName="[tbl_projects].[CO 1 IE]" caption="CO 1 IE" attribute="1" defaultMemberUniqueName="[tbl_projects].[CO 1 IE].[All]" allUniqueName="[tbl_projects].[CO 1 IE].[All]" dimensionUniqueName="[tbl_projects]" displayFolder="" count="0" memberValueDatatype="20" unbalanced="0"/>
    <cacheHierarchy uniqueName="[tbl_projects].[CO 1 EE]" caption="CO 1 EE" attribute="1" defaultMemberUniqueName="[tbl_projects].[CO 1 EE].[All]" allUniqueName="[tbl_projects].[CO 1 EE].[All]" dimensionUniqueName="[tbl_projects]" displayFolder="" count="0" memberValueDatatype="20" unbalanced="0"/>
    <cacheHierarchy uniqueName="[tbl_projects].[CO 2 NUM]" caption="CO 2 NUM" attribute="1" defaultMemberUniqueName="[tbl_projects].[CO 2 NUM].[All]" allUniqueName="[tbl_projects].[CO 2 NUM].[All]" dimensionUniqueName="[tbl_projects]" displayFolder="" count="0" memberValueDatatype="130" unbalanced="0"/>
    <cacheHierarchy uniqueName="[tbl_projects].[CO 2 IE]" caption="CO 2 IE" attribute="1" defaultMemberUniqueName="[tbl_projects].[CO 2 IE].[All]" allUniqueName="[tbl_projects].[CO 2 IE].[All]" dimensionUniqueName="[tbl_projects]" displayFolder="" count="0" memberValueDatatype="20" unbalanced="0"/>
    <cacheHierarchy uniqueName="[tbl_projects].[CO 2 EE]" caption="CO 2 EE" attribute="1" defaultMemberUniqueName="[tbl_projects].[CO 2 EE].[All]" allUniqueName="[tbl_projects].[CO 2 EE].[All]" dimensionUniqueName="[tbl_projects]" displayFolder="" count="0" memberValueDatatype="20" unbalanced="0"/>
    <cacheHierarchy uniqueName="[tbl_projects].[CO 3 IE]" caption="CO 3 IE" attribute="1" defaultMemberUniqueName="[tbl_projects].[CO 3 IE].[All]" allUniqueName="[tbl_projects].[CO 3 IE].[All]" dimensionUniqueName="[tbl_projects]" displayFolder="" count="0" memberValueDatatype="130" unbalanced="0"/>
    <cacheHierarchy uniqueName="[tbl_projects].[CO 3 EE]" caption="CO 3 EE" attribute="1" defaultMemberUniqueName="[tbl_projects].[CO 3 EE].[All]" allUniqueName="[tbl_projects].[CO 3 EE].[All]" dimensionUniqueName="[tbl_projects]" displayFolder="" count="0" memberValueDatatype="130" unbalanced="0"/>
    <cacheHierarchy uniqueName="[tbl_projects].[CO 4 IE]" caption="CO 4 IE" attribute="1" defaultMemberUniqueName="[tbl_projects].[CO 4 IE].[All]" allUniqueName="[tbl_projects].[CO 4 IE].[All]" dimensionUniqueName="[tbl_projects]" displayFolder="" count="0" memberValueDatatype="130" unbalanced="0"/>
    <cacheHierarchy uniqueName="[tbl_projects].[CO 4 EE]" caption="CO 4 EE" attribute="1" defaultMemberUniqueName="[tbl_projects].[CO 4 EE].[All]" allUniqueName="[tbl_projects].[CO 4 EE].[All]" dimensionUniqueName="[tbl_projects]" displayFolder="" count="0" memberValueDatatype="130" unbalanced="0"/>
    <cacheHierarchy uniqueName="[tbl_projects].[CO 5 IE]" caption="CO 5 IE" attribute="1" defaultMemberUniqueName="[tbl_projects].[CO 5 IE].[All]" allUniqueName="[tbl_projects].[CO 5 IE].[All]" dimensionUniqueName="[tbl_projects]" displayFolder="" count="0" memberValueDatatype="130" unbalanced="0"/>
    <cacheHierarchy uniqueName="[tbl_projects].[CO 6 EE]" caption="CO 6 EE" attribute="1" defaultMemberUniqueName="[tbl_projects].[CO 6 EE].[All]" allUniqueName="[tbl_projects].[CO 6 EE].[All]" dimensionUniqueName="[tbl_projects]" displayFolder="" count="0" memberValueDatatype="130" unbalanced="0"/>
    <cacheHierarchy uniqueName="[tbl_projects].[Inst Eng Budget]" caption="Inst Eng Budget" attribute="1" defaultMemberUniqueName="[tbl_projects].[Inst Eng Budget].[All]" allUniqueName="[tbl_projects].[Inst Eng Budget].[All]" dimensionUniqueName="[tbl_projects]" displayFolder="" count="0" memberValueDatatype="20" unbalanced="0"/>
    <cacheHierarchy uniqueName="[tbl_projects].[Elec Eng Budget]" caption="Elec Eng Budget" attribute="1" defaultMemberUniqueName="[tbl_projects].[Elec Eng Budget].[All]" allUniqueName="[tbl_projects].[Elec Eng Budget].[All]" dimensionUniqueName="[tbl_projects]" displayFolder="" count="0" memberValueDatatype="20" unbalanced="0"/>
    <cacheHierarchy uniqueName="[tbl_timesheet].[Week Ending]" caption="Week Ending" attribute="1" time="1" defaultMemberUniqueName="[tbl_timesheet].[Week Ending].[All]" allUniqueName="[tbl_timesheet].[Week Ending].[All]" dimensionUniqueName="[tbl_timesheet]" displayFolder="" count="0" memberValueDatatype="7" unbalanced="0"/>
    <cacheHierarchy uniqueName="[tbl_timesheet].[Project Number]" caption="Project Number" attribute="1" defaultMemberUniqueName="[tbl_timesheet].[Project Number].[All]" allUniqueName="[tbl_timesheet].[Project Number].[All]" dimensionUniqueName="[tbl_timesheet]" displayFolder="" count="0" memberValueDatatype="20" unbalanced="0"/>
    <cacheHierarchy uniqueName="[tbl_timesheet].[Activity]" caption="Activity" attribute="1" defaultMemberUniqueName="[tbl_timesheet].[Activity].[All]" allUniqueName="[tbl_timesheet].[Activity].[All]" dimensionUniqueName="[tbl_timesheet]" displayFolder="" count="0" memberValueDatatype="130" unbalanced="0"/>
    <cacheHierarchy uniqueName="[tbl_timesheet].[OT]" caption="OT" attribute="1" defaultMemberUniqueName="[tbl_timesheet].[OT].[All]" allUniqueName="[tbl_timesheet].[OT].[All]" dimensionUniqueName="[tbl_timesheet]" displayFolder="" count="0" memberValueDatatype="130" unbalanced="0"/>
    <cacheHierarchy uniqueName="[tbl_timesheet].[Mon]" caption="Mon" attribute="1" defaultMemberUniqueName="[tbl_timesheet].[Mon].[All]" allUniqueName="[tbl_timesheet].[Mon].[All]" dimensionUniqueName="[tbl_timesheet]" displayFolder="" count="0" memberValueDatatype="20" unbalanced="0"/>
    <cacheHierarchy uniqueName="[tbl_timesheet].[Tue]" caption="Tue" attribute="1" defaultMemberUniqueName="[tbl_timesheet].[Tue].[All]" allUniqueName="[tbl_timesheet].[Tue].[All]" dimensionUniqueName="[tbl_timesheet]" displayFolder="" count="0" memberValueDatatype="5" unbalanced="0"/>
    <cacheHierarchy uniqueName="[tbl_timesheet].[Wed]" caption="Wed" attribute="1" defaultMemberUniqueName="[tbl_timesheet].[Wed].[All]" allUniqueName="[tbl_timesheet].[Wed].[All]" dimensionUniqueName="[tbl_timesheet]" displayFolder="" count="0" memberValueDatatype="5" unbalanced="0"/>
    <cacheHierarchy uniqueName="[tbl_timesheet].[Thu]" caption="Thu" attribute="1" defaultMemberUniqueName="[tbl_timesheet].[Thu].[All]" allUniqueName="[tbl_timesheet].[Thu].[All]" dimensionUniqueName="[tbl_timesheet]" displayFolder="" count="0" memberValueDatatype="5" unbalanced="0"/>
    <cacheHierarchy uniqueName="[tbl_timesheet].[Fri]" caption="Fri" attribute="1" defaultMemberUniqueName="[tbl_timesheet].[Fri].[All]" allUniqueName="[tbl_timesheet].[Fri].[All]" dimensionUniqueName="[tbl_timesheet]" displayFolder="" count="0" memberValueDatatype="5" unbalanced="0"/>
    <cacheHierarchy uniqueName="[tbl_timesheet].[Sat]" caption="Sat" attribute="1" defaultMemberUniqueName="[tbl_timesheet].[Sat].[All]" allUniqueName="[tbl_timesheet].[Sat].[All]" dimensionUniqueName="[tbl_timesheet]" displayFolder="" count="0" memberValueDatatype="20" unbalanced="0"/>
    <cacheHierarchy uniqueName="[tbl_timesheet].[Sun]" caption="Sun" attribute="1" defaultMemberUniqueName="[tbl_timesheet].[Sun].[All]" allUniqueName="[tbl_timesheet].[Sun].[All]" dimensionUniqueName="[tbl_timesheet]" displayFolder="" count="0" memberValueDatatype="20" unbalanced="0"/>
    <cacheHierarchy uniqueName="[tbl_timesheet].[Total]" caption="Total" attribute="1" defaultMemberUniqueName="[tbl_timesheet].[Total].[All]" allUniqueName="[tbl_timesheet].[Total].[All]" dimensionUniqueName="[tbl_timesheet]" displayFolder="" count="0" memberValueDatatype="5" unbalanced="0"/>
    <cacheHierarchy uniqueName="[tbl_timesheet].[EE Hrs]" caption="EE Hrs" attribute="1" defaultMemberUniqueName="[tbl_timesheet].[EE Hrs].[All]" allUniqueName="[tbl_timesheet].[EE Hrs].[All]" dimensionUniqueName="[tbl_timesheet]" displayFolder="" count="0" memberValueDatatype="20" unbalanced="0"/>
    <cacheHierarchy uniqueName="[tbl_timesheet].[IE Hrs]" caption="IE Hrs" attribute="1" defaultMemberUniqueName="[tbl_timesheet].[IE Hrs].[All]" allUniqueName="[tbl_timesheet].[IE Hrs].[All]" dimensionUniqueName="[tbl_timesheet]" displayFolder="" count="0" memberValueDatatype="5" unbalanced="0"/>
    <cacheHierarchy uniqueName="[Measures].[__XL_Count tbl_projects]" caption="__XL_Count tbl_projects" measure="1" displayFolder="" measureGroup="tbl_projects" count="0" hidden="1"/>
    <cacheHierarchy uniqueName="[Measures].[__XL_Count tbl_timesheet]" caption="__XL_Count tbl_timesheet" measure="1" displayFolder="" measureGroup="tbl_timesheet" count="0" hidden="1"/>
    <cacheHierarchy uniqueName="[Measures].[__No measures defined]" caption="__No measures defined" measure="1" displayFolder="" count="0" hidden="1"/>
    <cacheHierarchy uniqueName="[Measures].[Sum of Inst Eng Budget]" caption="Sum of Inst Eng Budget" measure="1" displayFolder="" measureGroup="tbl_projects" count="0" oneField="1" hidden="1">
      <fieldsUsage count="1">
        <fieldUsage x="0"/>
      </fieldsUsage>
      <extLst>
        <ext xmlns:x15="http://schemas.microsoft.com/office/spreadsheetml/2010/11/main" uri="{B97F6D7D-B522-45F9-BDA1-12C45D357490}">
          <x15:cacheHierarchy aggregatedColumn="20"/>
        </ext>
      </extLst>
    </cacheHierarchy>
    <cacheHierarchy uniqueName="[Measures].[Sum of Elec Eng Budget]" caption="Sum of Elec Eng Budget" measure="1" displayFolder="" measureGroup="tbl_project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IE Hrs]" caption="Sum of IE Hrs" measure="1" displayFolder="" measureGroup="tbl_timesheet" count="0" oneField="1" hidden="1">
      <fieldsUsage count="1">
        <fieldUsage x="2"/>
      </fieldsUsage>
      <extLst>
        <ext xmlns:x15="http://schemas.microsoft.com/office/spreadsheetml/2010/11/main" uri="{B97F6D7D-B522-45F9-BDA1-12C45D357490}">
          <x15:cacheHierarchy aggregatedColumn="35"/>
        </ext>
      </extLst>
    </cacheHierarchy>
    <cacheHierarchy uniqueName="[Measures].[Sum of EE Hrs]" caption="Sum of EE Hrs" measure="1" displayFolder="" measureGroup="tbl_timesheet" count="0" oneField="1" hidden="1">
      <fieldsUsage count="1">
        <fieldUsage x="3"/>
      </fieldsUsage>
      <extLst>
        <ext xmlns:x15="http://schemas.microsoft.com/office/spreadsheetml/2010/11/main" uri="{B97F6D7D-B522-45F9-BDA1-12C45D357490}">
          <x15:cacheHierarchy aggregatedColumn="34"/>
        </ext>
      </extLst>
    </cacheHierarchy>
  </cacheHierarchies>
  <kpis count="0"/>
  <dimensions count="3">
    <dimension measure="1" name="Measures" uniqueName="[Measures]" caption="Measures"/>
    <dimension name="tbl_projects" uniqueName="[tbl_projects]" caption="tbl_projects"/>
    <dimension name="tbl_timesheet" uniqueName="[tbl_timesheet]" caption="tbl_timesheet"/>
  </dimensions>
  <measureGroups count="2">
    <measureGroup name="tbl_projects" caption="tbl_projects"/>
    <measureGroup name="tbl_timesheet" caption="tbl_timesheet"/>
  </measureGroups>
  <maps count="3">
    <map measureGroup="0" dimension="1"/>
    <map measureGroup="1"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David W. Landry" refreshedDate="43542.431795949073" backgroundQuery="1" createdVersion="3" refreshedVersion="6" minRefreshableVersion="3" recordCount="0" supportSubquery="1" supportAdvancedDrill="1">
  <cacheSource type="external" connectionId="1">
    <extLst>
      <ext xmlns:x14="http://schemas.microsoft.com/office/spreadsheetml/2009/9/main" uri="{F057638F-6D5F-4e77-A914-E7F072B9BCA8}">
        <x14:sourceConnection name="ThisWorkbookDataModel"/>
      </ext>
    </extLst>
  </cacheSource>
  <cacheFields count="0"/>
  <cacheHierarchies count="43">
    <cacheHierarchy uniqueName="[tbl_projects].[Project Number]" caption="Project Number" attribute="1" defaultMemberUniqueName="[tbl_projects].[Project Number].[All]" allUniqueName="[tbl_projects].[Project Number].[All]" dimensionUniqueName="[tbl_projects]" displayFolder="" count="0" memberValueDatatype="130" unbalanced="0"/>
    <cacheHierarchy uniqueName="[tbl_projects].[Project Description]" caption="Project Description" attribute="1" defaultMemberUniqueName="[tbl_projects].[Project Description].[All]" allUniqueName="[tbl_projects].[Project Description].[All]" dimensionUniqueName="[tbl_projects]" displayFolder="" count="0" memberValueDatatype="130" unbalanced="0"/>
    <cacheHierarchy uniqueName="[tbl_projects].[Project]" caption="Project" attribute="1" defaultMemberUniqueName="[tbl_projects].[Project].[All]" allUniqueName="[tbl_projects].[Project].[All]" dimensionUniqueName="[tbl_projects]" displayFolder="" count="0" memberValueDatatype="130" unbalanced="0"/>
    <cacheHierarchy uniqueName="[tbl_projects].[Responsible for IE]" caption="Responsible for IE" attribute="1" defaultMemberUniqueName="[tbl_projects].[Responsible for IE].[All]" allUniqueName="[tbl_projects].[Responsible for IE].[All]" dimensionUniqueName="[tbl_projects]" displayFolder="" count="0" memberValueDatatype="130" unbalanced="0"/>
    <cacheHierarchy uniqueName="[tbl_projects].[Responsible for EE]" caption="Responsible for EE" attribute="1" defaultMemberUniqueName="[tbl_projects].[Responsible for EE].[All]" allUniqueName="[tbl_projects].[Responsible for EE].[All]" dimensionUniqueName="[tbl_projects]" displayFolder="" count="0" memberValueDatatype="130" unbalanced="0"/>
    <cacheHierarchy uniqueName="[tbl_projects].[IsActive]" caption="IsActive" attribute="1" defaultMemberUniqueName="[tbl_projects].[IsActive].[All]" allUniqueName="[tbl_projects].[IsActive].[All]" dimensionUniqueName="[tbl_projects]" displayFolder="" count="2" memberValueDatatype="11" unbalanced="0"/>
    <cacheHierarchy uniqueName="[tbl_projects].[Orig Budget IE]" caption="Orig Budget IE" attribute="1" defaultMemberUniqueName="[tbl_projects].[Orig Budget IE].[All]" allUniqueName="[tbl_projects].[Orig Budget IE].[All]" dimensionUniqueName="[tbl_projects]" displayFolder="" count="0" memberValueDatatype="20" unbalanced="0"/>
    <cacheHierarchy uniqueName="[tbl_projects].[Orig Budget EE]" caption="Orig Budget EE" attribute="1" defaultMemberUniqueName="[tbl_projects].[Orig Budget EE].[All]" allUniqueName="[tbl_projects].[Orig Budget EE].[All]" dimensionUniqueName="[tbl_projects]" displayFolder="" count="0" memberValueDatatype="20" unbalanced="0"/>
    <cacheHierarchy uniqueName="[tbl_projects].[CO 1 NUM]" caption="CO 1 NUM" attribute="1" defaultMemberUniqueName="[tbl_projects].[CO 1 NUM].[All]" allUniqueName="[tbl_projects].[CO 1 NUM].[All]" dimensionUniqueName="[tbl_projects]" displayFolder="" count="0" memberValueDatatype="130" unbalanced="0"/>
    <cacheHierarchy uniqueName="[tbl_projects].[CO 1 IE]" caption="CO 1 IE" attribute="1" defaultMemberUniqueName="[tbl_projects].[CO 1 IE].[All]" allUniqueName="[tbl_projects].[CO 1 IE].[All]" dimensionUniqueName="[tbl_projects]" displayFolder="" count="0" memberValueDatatype="20" unbalanced="0"/>
    <cacheHierarchy uniqueName="[tbl_projects].[CO 1 EE]" caption="CO 1 EE" attribute="1" defaultMemberUniqueName="[tbl_projects].[CO 1 EE].[All]" allUniqueName="[tbl_projects].[CO 1 EE].[All]" dimensionUniqueName="[tbl_projects]" displayFolder="" count="0" memberValueDatatype="20" unbalanced="0"/>
    <cacheHierarchy uniqueName="[tbl_projects].[CO 2 NUM]" caption="CO 2 NUM" attribute="1" defaultMemberUniqueName="[tbl_projects].[CO 2 NUM].[All]" allUniqueName="[tbl_projects].[CO 2 NUM].[All]" dimensionUniqueName="[tbl_projects]" displayFolder="" count="0" memberValueDatatype="130" unbalanced="0"/>
    <cacheHierarchy uniqueName="[tbl_projects].[CO 2 IE]" caption="CO 2 IE" attribute="1" defaultMemberUniqueName="[tbl_projects].[CO 2 IE].[All]" allUniqueName="[tbl_projects].[CO 2 IE].[All]" dimensionUniqueName="[tbl_projects]" displayFolder="" count="0" memberValueDatatype="20" unbalanced="0"/>
    <cacheHierarchy uniqueName="[tbl_projects].[CO 2 EE]" caption="CO 2 EE" attribute="1" defaultMemberUniqueName="[tbl_projects].[CO 2 EE].[All]" allUniqueName="[tbl_projects].[CO 2 EE].[All]" dimensionUniqueName="[tbl_projects]" displayFolder="" count="0" memberValueDatatype="20" unbalanced="0"/>
    <cacheHierarchy uniqueName="[tbl_projects].[CO 3 IE]" caption="CO 3 IE" attribute="1" defaultMemberUniqueName="[tbl_projects].[CO 3 IE].[All]" allUniqueName="[tbl_projects].[CO 3 IE].[All]" dimensionUniqueName="[tbl_projects]" displayFolder="" count="0" memberValueDatatype="130" unbalanced="0"/>
    <cacheHierarchy uniqueName="[tbl_projects].[CO 3 EE]" caption="CO 3 EE" attribute="1" defaultMemberUniqueName="[tbl_projects].[CO 3 EE].[All]" allUniqueName="[tbl_projects].[CO 3 EE].[All]" dimensionUniqueName="[tbl_projects]" displayFolder="" count="0" memberValueDatatype="130" unbalanced="0"/>
    <cacheHierarchy uniqueName="[tbl_projects].[CO 4 IE]" caption="CO 4 IE" attribute="1" defaultMemberUniqueName="[tbl_projects].[CO 4 IE].[All]" allUniqueName="[tbl_projects].[CO 4 IE].[All]" dimensionUniqueName="[tbl_projects]" displayFolder="" count="0" memberValueDatatype="130" unbalanced="0"/>
    <cacheHierarchy uniqueName="[tbl_projects].[CO 4 EE]" caption="CO 4 EE" attribute="1" defaultMemberUniqueName="[tbl_projects].[CO 4 EE].[All]" allUniqueName="[tbl_projects].[CO 4 EE].[All]" dimensionUniqueName="[tbl_projects]" displayFolder="" count="0" memberValueDatatype="130" unbalanced="0"/>
    <cacheHierarchy uniqueName="[tbl_projects].[CO 5 IE]" caption="CO 5 IE" attribute="1" defaultMemberUniqueName="[tbl_projects].[CO 5 IE].[All]" allUniqueName="[tbl_projects].[CO 5 IE].[All]" dimensionUniqueName="[tbl_projects]" displayFolder="" count="0" memberValueDatatype="130" unbalanced="0"/>
    <cacheHierarchy uniqueName="[tbl_projects].[CO 6 EE]" caption="CO 6 EE" attribute="1" defaultMemberUniqueName="[tbl_projects].[CO 6 EE].[All]" allUniqueName="[tbl_projects].[CO 6 EE].[All]" dimensionUniqueName="[tbl_projects]" displayFolder="" count="0" memberValueDatatype="130" unbalanced="0"/>
    <cacheHierarchy uniqueName="[tbl_projects].[Inst Eng Budget]" caption="Inst Eng Budget" attribute="1" defaultMemberUniqueName="[tbl_projects].[Inst Eng Budget].[All]" allUniqueName="[tbl_projects].[Inst Eng Budget].[All]" dimensionUniqueName="[tbl_projects]" displayFolder="" count="0" memberValueDatatype="20" unbalanced="0"/>
    <cacheHierarchy uniqueName="[tbl_projects].[Elec Eng Budget]" caption="Elec Eng Budget" attribute="1" defaultMemberUniqueName="[tbl_projects].[Elec Eng Budget].[All]" allUniqueName="[tbl_projects].[Elec Eng Budget].[All]" dimensionUniqueName="[tbl_projects]" displayFolder="" count="0" memberValueDatatype="20" unbalanced="0"/>
    <cacheHierarchy uniqueName="[tbl_timesheet].[Week Ending]" caption="Week Ending" attribute="1" time="1" defaultMemberUniqueName="[tbl_timesheet].[Week Ending].[All]" allUniqueName="[tbl_timesheet].[Week Ending].[All]" dimensionUniqueName="[tbl_timesheet]" displayFolder="" count="0" memberValueDatatype="7" unbalanced="0"/>
    <cacheHierarchy uniqueName="[tbl_timesheet].[Project Number]" caption="Project Number" attribute="1" defaultMemberUniqueName="[tbl_timesheet].[Project Number].[All]" allUniqueName="[tbl_timesheet].[Project Number].[All]" dimensionUniqueName="[tbl_timesheet]" displayFolder="" count="0" memberValueDatatype="20" unbalanced="0"/>
    <cacheHierarchy uniqueName="[tbl_timesheet].[Activity]" caption="Activity" attribute="1" defaultMemberUniqueName="[tbl_timesheet].[Activity].[All]" allUniqueName="[tbl_timesheet].[Activity].[All]" dimensionUniqueName="[tbl_timesheet]" displayFolder="" count="0" memberValueDatatype="130" unbalanced="0"/>
    <cacheHierarchy uniqueName="[tbl_timesheet].[OT]" caption="OT" attribute="1" defaultMemberUniqueName="[tbl_timesheet].[OT].[All]" allUniqueName="[tbl_timesheet].[OT].[All]" dimensionUniqueName="[tbl_timesheet]" displayFolder="" count="0" memberValueDatatype="130" unbalanced="0"/>
    <cacheHierarchy uniqueName="[tbl_timesheet].[Mon]" caption="Mon" attribute="1" defaultMemberUniqueName="[tbl_timesheet].[Mon].[All]" allUniqueName="[tbl_timesheet].[Mon].[All]" dimensionUniqueName="[tbl_timesheet]" displayFolder="" count="0" memberValueDatatype="20" unbalanced="0"/>
    <cacheHierarchy uniqueName="[tbl_timesheet].[Tue]" caption="Tue" attribute="1" defaultMemberUniqueName="[tbl_timesheet].[Tue].[All]" allUniqueName="[tbl_timesheet].[Tue].[All]" dimensionUniqueName="[tbl_timesheet]" displayFolder="" count="0" memberValueDatatype="5" unbalanced="0"/>
    <cacheHierarchy uniqueName="[tbl_timesheet].[Wed]" caption="Wed" attribute="1" defaultMemberUniqueName="[tbl_timesheet].[Wed].[All]" allUniqueName="[tbl_timesheet].[Wed].[All]" dimensionUniqueName="[tbl_timesheet]" displayFolder="" count="0" memberValueDatatype="5" unbalanced="0"/>
    <cacheHierarchy uniqueName="[tbl_timesheet].[Thu]" caption="Thu" attribute="1" defaultMemberUniqueName="[tbl_timesheet].[Thu].[All]" allUniqueName="[tbl_timesheet].[Thu].[All]" dimensionUniqueName="[tbl_timesheet]" displayFolder="" count="0" memberValueDatatype="5" unbalanced="0"/>
    <cacheHierarchy uniqueName="[tbl_timesheet].[Fri]" caption="Fri" attribute="1" defaultMemberUniqueName="[tbl_timesheet].[Fri].[All]" allUniqueName="[tbl_timesheet].[Fri].[All]" dimensionUniqueName="[tbl_timesheet]" displayFolder="" count="0" memberValueDatatype="5" unbalanced="0"/>
    <cacheHierarchy uniqueName="[tbl_timesheet].[Sat]" caption="Sat" attribute="1" defaultMemberUniqueName="[tbl_timesheet].[Sat].[All]" allUniqueName="[tbl_timesheet].[Sat].[All]" dimensionUniqueName="[tbl_timesheet]" displayFolder="" count="0" memberValueDatatype="20" unbalanced="0"/>
    <cacheHierarchy uniqueName="[tbl_timesheet].[Sun]" caption="Sun" attribute="1" defaultMemberUniqueName="[tbl_timesheet].[Sun].[All]" allUniqueName="[tbl_timesheet].[Sun].[All]" dimensionUniqueName="[tbl_timesheet]" displayFolder="" count="0" memberValueDatatype="20" unbalanced="0"/>
    <cacheHierarchy uniqueName="[tbl_timesheet].[Total]" caption="Total" attribute="1" defaultMemberUniqueName="[tbl_timesheet].[Total].[All]" allUniqueName="[tbl_timesheet].[Total].[All]" dimensionUniqueName="[tbl_timesheet]" displayFolder="" count="0" memberValueDatatype="5" unbalanced="0"/>
    <cacheHierarchy uniqueName="[tbl_timesheet].[EE Hrs]" caption="EE Hrs" attribute="1" defaultMemberUniqueName="[tbl_timesheet].[EE Hrs].[All]" allUniqueName="[tbl_timesheet].[EE Hrs].[All]" dimensionUniqueName="[tbl_timesheet]" displayFolder="" count="0" memberValueDatatype="20" unbalanced="0"/>
    <cacheHierarchy uniqueName="[tbl_timesheet].[IE Hrs]" caption="IE Hrs" attribute="1" defaultMemberUniqueName="[tbl_timesheet].[IE Hrs].[All]" allUniqueName="[tbl_timesheet].[IE Hrs].[All]" dimensionUniqueName="[tbl_timesheet]" displayFolder="" count="0" memberValueDatatype="5" unbalanced="0"/>
    <cacheHierarchy uniqueName="[Measures].[__XL_Count tbl_projects]" caption="__XL_Count tbl_projects" measure="1" displayFolder="" measureGroup="tbl_projects" count="0" hidden="1"/>
    <cacheHierarchy uniqueName="[Measures].[__XL_Count tbl_timesheet]" caption="__XL_Count tbl_timesheet" measure="1" displayFolder="" measureGroup="tbl_timesheet" count="0" hidden="1"/>
    <cacheHierarchy uniqueName="[Measures].[__No measures defined]" caption="__No measures defined" measure="1" displayFolder="" count="0" hidden="1"/>
    <cacheHierarchy uniqueName="[Measures].[Sum of Inst Eng Budget]" caption="Sum of Inst Eng Budget" measure="1" displayFolder="" measureGroup="tbl_projects" count="0" hidden="1">
      <extLst>
        <ext xmlns:x15="http://schemas.microsoft.com/office/spreadsheetml/2010/11/main" uri="{B97F6D7D-B522-45F9-BDA1-12C45D357490}">
          <x15:cacheHierarchy aggregatedColumn="20"/>
        </ext>
      </extLst>
    </cacheHierarchy>
    <cacheHierarchy uniqueName="[Measures].[Sum of Elec Eng Budget]" caption="Sum of Elec Eng Budget" measure="1" displayFolder="" measureGroup="tbl_projects" count="0" hidden="1">
      <extLst>
        <ext xmlns:x15="http://schemas.microsoft.com/office/spreadsheetml/2010/11/main" uri="{B97F6D7D-B522-45F9-BDA1-12C45D357490}">
          <x15:cacheHierarchy aggregatedColumn="21"/>
        </ext>
      </extLst>
    </cacheHierarchy>
    <cacheHierarchy uniqueName="[Measures].[Sum of IE Hrs]" caption="Sum of IE Hrs" measure="1" displayFolder="" measureGroup="tbl_timesheet" count="0" hidden="1">
      <extLst>
        <ext xmlns:x15="http://schemas.microsoft.com/office/spreadsheetml/2010/11/main" uri="{B97F6D7D-B522-45F9-BDA1-12C45D357490}">
          <x15:cacheHierarchy aggregatedColumn="35"/>
        </ext>
      </extLst>
    </cacheHierarchy>
    <cacheHierarchy uniqueName="[Measures].[Sum of EE Hrs]" caption="Sum of EE Hrs" measure="1" displayFolder="" measureGroup="tbl_timesheet" count="0" hidden="1">
      <extLst>
        <ext xmlns:x15="http://schemas.microsoft.com/office/spreadsheetml/2010/11/main" uri="{B97F6D7D-B522-45F9-BDA1-12C45D357490}">
          <x15:cacheHierarchy aggregatedColumn="34"/>
        </ext>
      </extLst>
    </cacheHierarchy>
  </cacheHierarchies>
  <kpis count="0"/>
  <extLst>
    <ext xmlns:x14="http://schemas.microsoft.com/office/spreadsheetml/2009/9/main" uri="{725AE2AE-9491-48be-B2B4-4EB974FC3084}">
      <x14:pivotCacheDefinition slicerData="1" pivotCacheId="13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3" applyNumberFormats="0" applyBorderFormats="0" applyFontFormats="0" applyPatternFormats="0" applyAlignmentFormats="0" applyWidthHeightFormats="1" dataCaption="Values" updatedVersion="6" minRefreshableVersion="3" useAutoFormatting="1" subtotalHiddenItems="1" itemPrintTitles="1" createdVersion="6" indent="0" compact="0" compactData="0" multipleFieldFilters="0">
  <location ref="A3:E24" firstHeaderRow="0" firstDataRow="1" firstDataCol="1"/>
  <pivotFields count="6">
    <pivotField dataField="1" compact="0" outline="0" showAll="0"/>
    <pivotField dataField="1" compact="0" outline="0" showAll="0"/>
    <pivotField dataField="1" compact="0" outline="0" showAll="0"/>
    <pivotField dataField="1" compact="0" outline="0" showAll="0"/>
    <pivotField compact="0" allDrilled="1" outline="0" showAll="0" dataSourceSort="1" defaultAttributeDrillState="1"/>
    <pivotField axis="axisRow" compact="0" allDrilled="1" outline="0" showAll="0" dataSourceSort="1" defaultAttributeDrillState="1">
      <items count="21">
        <item x="0"/>
        <item x="1"/>
        <item x="2"/>
        <item x="3"/>
        <item x="4"/>
        <item x="5"/>
        <item x="6"/>
        <item x="7"/>
        <item x="8"/>
        <item x="9"/>
        <item x="10"/>
        <item x="11"/>
        <item x="12"/>
        <item x="13"/>
        <item x="14"/>
        <item x="15"/>
        <item x="16"/>
        <item x="17"/>
        <item x="18"/>
        <item x="19"/>
        <item t="default"/>
      </items>
    </pivotField>
  </pivotFields>
  <rowFields count="1">
    <field x="5"/>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4">
    <i>
      <x/>
    </i>
    <i i="1">
      <x v="1"/>
    </i>
    <i i="2">
      <x v="2"/>
    </i>
    <i i="3">
      <x v="3"/>
    </i>
  </colItems>
  <dataFields count="4">
    <dataField name="IE Budget" fld="0" baseField="0" baseItem="4"/>
    <dataField name="IE Charged" fld="2" baseField="0" baseItem="4"/>
    <dataField name="EE Budget" fld="1" baseField="0" baseItem="4"/>
    <dataField name="EE Charged" fld="3" baseField="0" baseItem="4"/>
  </dataFields>
  <pivotHierarchies count="43">
    <pivotHierarchy dragToData="1"/>
    <pivotHierarchy dragToData="1"/>
    <pivotHierarchy dragToData="1"/>
    <pivotHierarchy dragToData="1"/>
    <pivotHierarchy dragToData="1"/>
    <pivotHierarchy multipleItemSelectionAllowed="1" dragToData="1">
      <members count="1" level="1">
        <member name="[tbl_projects].[IsActive].&amp;[Tru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ies>
  <pivotTableStyleInfo name="PivotStyleLight22"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_projects]"/>
        <x15:activeTabTopLevelEntity name="[tbl_timesheet]"/>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IsActive" sourceName="[tbl_projects].[IsActive]">
  <pivotTables>
    <pivotTable tabId="3" name="PivotTable1"/>
  </pivotTables>
  <data>
    <olap pivotCacheId="132">
      <levels count="2">
        <level uniqueName="[tbl_projects].[IsActive].[(All)]" sourceCaption="(All)" count="0"/>
        <level uniqueName="[tbl_projects].[IsActive].[IsActive]" sourceCaption="IsActive" count="2">
          <ranges>
            <range startItem="0">
              <i n="[tbl_projects].[IsActive].&amp;[False]" c="FALSE"/>
              <i n="[tbl_projects].[IsActive].&amp;[True]" c="TRUE"/>
            </range>
          </ranges>
        </level>
      </levels>
      <selections count="1">
        <selection n="[tbl_projects].[IsActive].&amp;[True]"/>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sActive" cache="Slicer_IsActive" caption="IsActive" columnCount="2" level="1" rowHeight="241300"/>
</slicers>
</file>

<file path=xl/tables/table1.xml><?xml version="1.0" encoding="utf-8"?>
<table xmlns="http://schemas.openxmlformats.org/spreadsheetml/2006/main" id="1" name="tbl_timesheet" displayName="tbl_timesheet" ref="A1:N424" totalsRowShown="0" dataDxfId="39">
  <autoFilter ref="A1:N424"/>
  <tableColumns count="14">
    <tableColumn id="1" name="Week Ending" dataDxfId="38"/>
    <tableColumn id="15" name="Project Number" dataDxfId="37"/>
    <tableColumn id="3" name="Activity" dataDxfId="36"/>
    <tableColumn id="4" name="OT" dataDxfId="35"/>
    <tableColumn id="5" name="Mon" dataDxfId="34"/>
    <tableColumn id="6" name="Tue" dataDxfId="33"/>
    <tableColumn id="7" name="Wed" dataDxfId="32"/>
    <tableColumn id="8" name="Thu" dataDxfId="31"/>
    <tableColumn id="9" name="Fri" dataDxfId="30"/>
    <tableColumn id="10" name="Sat" dataDxfId="29"/>
    <tableColumn id="11" name="Sun" dataDxfId="28"/>
    <tableColumn id="12" name="Total" dataDxfId="27"/>
    <tableColumn id="13" name="EE Hrs" dataDxfId="26">
      <calculatedColumnFormula>IF(LEFT(tbl_timesheet[[#This Row],[Activity]],1)="5",tbl_timesheet[[#This Row],[Total]],0)</calculatedColumnFormula>
    </tableColumn>
    <tableColumn id="14" name="IE Hrs" dataDxfId="25">
      <calculatedColumnFormula>IF(LEFT(tbl_timesheet[[#This Row],[Activity]],1)="6",tbl_timesheet[[#This Row],[Total]],0)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bl_projects" displayName="tbl_projects" ref="A1:V42" totalsRowShown="0" headerRowDxfId="23" dataDxfId="22">
  <autoFilter ref="A1:V42"/>
  <sortState ref="C2:V22">
    <sortCondition ref="C1:C22"/>
  </sortState>
  <tableColumns count="22">
    <tableColumn id="21" name="Project Number" dataDxfId="21"/>
    <tableColumn id="22" name="Project Description" dataDxfId="20"/>
    <tableColumn id="1" name="Project" dataDxfId="19"/>
    <tableColumn id="19" name="Responsible for IE" dataDxfId="18"/>
    <tableColumn id="20" name="Responsible for EE" dataDxfId="17"/>
    <tableColumn id="2" name="IsActive" dataDxfId="16"/>
    <tableColumn id="3" name="Orig Budget_x000a_IE" dataDxfId="15"/>
    <tableColumn id="4" name="Orig Budget_x000a_EE" dataDxfId="14"/>
    <tableColumn id="17" name="CO 1_x000a_NUM" dataDxfId="13"/>
    <tableColumn id="5" name="CO 1_x000a_IE" dataDxfId="12"/>
    <tableColumn id="10" name="CO 1_x000a_EE" dataDxfId="11"/>
    <tableColumn id="18" name="CO 2_x000a_NUM" dataDxfId="10"/>
    <tableColumn id="6" name="CO 2_x000a_IE" dataDxfId="9"/>
    <tableColumn id="11" name="CO 2_x000a_EE" dataDxfId="8"/>
    <tableColumn id="7" name="CO 3_x000a_IE" dataDxfId="7"/>
    <tableColumn id="12" name="CO 3_x000a_EE" dataDxfId="6"/>
    <tableColumn id="8" name="CO 4_x000a_IE" dataDxfId="5"/>
    <tableColumn id="13" name="CO 4_x000a_EE" dataDxfId="4"/>
    <tableColumn id="9" name="CO 5_x000a_IE" dataDxfId="3"/>
    <tableColumn id="14" name="CO 6_x000a_EE" dataDxfId="2"/>
    <tableColumn id="15" name="Inst Eng Budget" dataDxfId="1">
      <calculatedColumnFormula>SUM(tbl_projects[[#This Row],[CO 5
IE]],tbl_projects[[#This Row],[CO 4
IE]],tbl_projects[[#This Row],[CO 3
IE]],tbl_projects[[#This Row],[CO 2
IE]],tbl_projects[[#This Row],[CO 1
IE]],tbl_projects[[#This Row],[Orig Budget
IE]])</calculatedColumnFormula>
    </tableColumn>
    <tableColumn id="16" name="Elec Eng Budget" dataDxfId="0">
      <calculatedColumnFormula>SUM(tbl_projects[[#This Row],[CO 6
EE]],tbl_projects[[#This Row],[CO 4
EE]],tbl_projects[[#This Row],[CO 3
EE]],tbl_projects[[#This Row],[CO 2
EE]],tbl_projects[[#This Row],[CO 1
EE]],tbl_projects[[#This Row],[Orig Budget
EE]])</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2:M54"/>
  <sheetViews>
    <sheetView tabSelected="1" zoomScale="130" zoomScaleNormal="130" workbookViewId="0">
      <selection activeCell="L9" sqref="L9"/>
    </sheetView>
  </sheetViews>
  <sheetFormatPr defaultRowHeight="15" x14ac:dyDescent="0.25"/>
  <cols>
    <col min="1" max="1" width="53.28515625" customWidth="1"/>
    <col min="2" max="2" width="9.28515625" customWidth="1"/>
    <col min="3" max="3" width="10.28515625" customWidth="1"/>
    <col min="4" max="4" width="9.7109375" hidden="1" customWidth="1"/>
    <col min="5" max="5" width="10.7109375" hidden="1" customWidth="1"/>
    <col min="6" max="6" width="15.7109375" hidden="1" customWidth="1"/>
    <col min="7" max="7" width="16.140625" hidden="1" customWidth="1"/>
    <col min="8" max="8" width="12.42578125" style="15" bestFit="1" customWidth="1"/>
    <col min="9" max="9" width="12.85546875" style="13" bestFit="1" customWidth="1"/>
    <col min="11" max="11" width="3" bestFit="1" customWidth="1"/>
    <col min="12" max="12" width="51.85546875" bestFit="1" customWidth="1"/>
    <col min="13" max="13" width="14.28515625" bestFit="1" customWidth="1"/>
  </cols>
  <sheetData>
    <row r="2" spans="1:13" ht="44.25" customHeight="1" x14ac:dyDescent="0.25">
      <c r="F2" s="12">
        <v>0.85</v>
      </c>
      <c r="G2" s="12">
        <v>0.85</v>
      </c>
      <c r="H2" s="15" t="s">
        <v>153</v>
      </c>
    </row>
    <row r="3" spans="1:13" x14ac:dyDescent="0.25">
      <c r="A3" s="5" t="s">
        <v>20</v>
      </c>
      <c r="B3" t="s">
        <v>71</v>
      </c>
      <c r="C3" t="s">
        <v>72</v>
      </c>
      <c r="D3" t="s">
        <v>73</v>
      </c>
      <c r="E3" t="s">
        <v>74</v>
      </c>
      <c r="F3" s="7" t="str">
        <f>CONCATENATE(TEXT(F2,"#%"), " of IE Budget")</f>
        <v>85% of IE Budget</v>
      </c>
      <c r="G3" s="7" t="s">
        <v>77</v>
      </c>
      <c r="H3" s="16" t="s">
        <v>75</v>
      </c>
      <c r="I3" s="14" t="s">
        <v>76</v>
      </c>
    </row>
    <row r="4" spans="1:13" x14ac:dyDescent="0.25">
      <c r="A4" t="s">
        <v>175</v>
      </c>
      <c r="B4" s="6">
        <v>74</v>
      </c>
      <c r="C4" s="6">
        <v>69</v>
      </c>
      <c r="D4" s="6">
        <v>0</v>
      </c>
      <c r="E4" s="6">
        <v>0</v>
      </c>
      <c r="F4" s="6">
        <f t="shared" ref="F4:F20" si="0">$F$2*B4</f>
        <v>62.9</v>
      </c>
      <c r="G4" s="6">
        <f t="shared" ref="G4:G35" si="1">$G$2*D4</f>
        <v>0</v>
      </c>
      <c r="H4" s="17">
        <f t="shared" ref="H4:H35" si="2">F4-C4</f>
        <v>-6.1000000000000014</v>
      </c>
      <c r="I4" s="13">
        <f t="shared" ref="I4:I35" si="3">G4-E4</f>
        <v>0</v>
      </c>
      <c r="K4" s="30">
        <v>0</v>
      </c>
      <c r="L4" t="s">
        <v>175</v>
      </c>
    </row>
    <row r="5" spans="1:13" x14ac:dyDescent="0.25">
      <c r="A5" t="s">
        <v>146</v>
      </c>
      <c r="B5" s="6">
        <v>0</v>
      </c>
      <c r="C5" s="6">
        <v>0</v>
      </c>
      <c r="D5" s="6">
        <v>0</v>
      </c>
      <c r="E5" s="6">
        <v>0</v>
      </c>
      <c r="F5" s="6">
        <f t="shared" si="0"/>
        <v>0</v>
      </c>
      <c r="G5" s="6">
        <f t="shared" si="1"/>
        <v>0</v>
      </c>
      <c r="H5" s="17">
        <f t="shared" si="2"/>
        <v>0</v>
      </c>
      <c r="I5" s="13">
        <f t="shared" si="3"/>
        <v>0</v>
      </c>
      <c r="K5" s="30">
        <v>0</v>
      </c>
      <c r="L5" t="s">
        <v>146</v>
      </c>
    </row>
    <row r="6" spans="1:13" x14ac:dyDescent="0.25">
      <c r="A6" t="s">
        <v>142</v>
      </c>
      <c r="B6" s="6">
        <v>124</v>
      </c>
      <c r="C6" s="6">
        <v>93.75</v>
      </c>
      <c r="D6" s="6">
        <v>88</v>
      </c>
      <c r="E6" s="6">
        <v>70</v>
      </c>
      <c r="F6" s="6">
        <f t="shared" si="0"/>
        <v>105.39999999999999</v>
      </c>
      <c r="G6" s="6">
        <f t="shared" si="1"/>
        <v>74.8</v>
      </c>
      <c r="H6" s="17">
        <f t="shared" si="2"/>
        <v>11.649999999999991</v>
      </c>
      <c r="I6" s="13">
        <f t="shared" si="3"/>
        <v>4.7999999999999972</v>
      </c>
      <c r="K6" s="30">
        <v>0</v>
      </c>
      <c r="L6" t="s">
        <v>142</v>
      </c>
    </row>
    <row r="7" spans="1:13" x14ac:dyDescent="0.25">
      <c r="A7" t="s">
        <v>143</v>
      </c>
      <c r="B7" s="6">
        <v>124</v>
      </c>
      <c r="C7" s="6">
        <v>95.75</v>
      </c>
      <c r="D7" s="6">
        <v>88</v>
      </c>
      <c r="E7" s="6">
        <v>61</v>
      </c>
      <c r="F7" s="6">
        <f t="shared" si="0"/>
        <v>105.39999999999999</v>
      </c>
      <c r="G7" s="6">
        <f t="shared" si="1"/>
        <v>74.8</v>
      </c>
      <c r="H7" s="17">
        <f t="shared" si="2"/>
        <v>9.6499999999999915</v>
      </c>
      <c r="I7" s="13">
        <f t="shared" si="3"/>
        <v>13.799999999999997</v>
      </c>
      <c r="K7" s="30">
        <v>0</v>
      </c>
      <c r="L7" t="s">
        <v>143</v>
      </c>
    </row>
    <row r="8" spans="1:13" x14ac:dyDescent="0.25">
      <c r="A8" t="s">
        <v>80</v>
      </c>
      <c r="B8" s="6">
        <v>106</v>
      </c>
      <c r="C8" s="6">
        <v>68.5</v>
      </c>
      <c r="D8" s="6">
        <v>85</v>
      </c>
      <c r="E8" s="6">
        <v>42</v>
      </c>
      <c r="F8" s="6">
        <f t="shared" si="0"/>
        <v>90.1</v>
      </c>
      <c r="G8" s="6">
        <f t="shared" si="1"/>
        <v>72.25</v>
      </c>
      <c r="H8" s="17">
        <f t="shared" si="2"/>
        <v>21.599999999999994</v>
      </c>
      <c r="I8" s="13">
        <f t="shared" si="3"/>
        <v>30.25</v>
      </c>
      <c r="K8" s="30">
        <v>5</v>
      </c>
      <c r="L8" t="s">
        <v>80</v>
      </c>
      <c r="M8" s="10"/>
    </row>
    <row r="9" spans="1:13" x14ac:dyDescent="0.25">
      <c r="A9" t="s">
        <v>150</v>
      </c>
      <c r="B9" s="6">
        <v>124</v>
      </c>
      <c r="C9" s="6">
        <v>19</v>
      </c>
      <c r="D9" s="6">
        <v>88</v>
      </c>
      <c r="E9" s="6">
        <v>37</v>
      </c>
      <c r="F9" s="6">
        <f t="shared" si="0"/>
        <v>105.39999999999999</v>
      </c>
      <c r="G9" s="6">
        <f t="shared" si="1"/>
        <v>74.8</v>
      </c>
      <c r="H9" s="17">
        <f t="shared" si="2"/>
        <v>86.399999999999991</v>
      </c>
      <c r="I9" s="13">
        <f t="shared" si="3"/>
        <v>37.799999999999997</v>
      </c>
      <c r="K9" s="30">
        <v>8</v>
      </c>
      <c r="L9" t="s">
        <v>150</v>
      </c>
      <c r="M9" s="10"/>
    </row>
    <row r="10" spans="1:13" x14ac:dyDescent="0.25">
      <c r="A10" t="s">
        <v>152</v>
      </c>
      <c r="B10" s="6">
        <v>124</v>
      </c>
      <c r="C10" s="6">
        <v>17</v>
      </c>
      <c r="D10" s="6">
        <v>88</v>
      </c>
      <c r="E10" s="6">
        <v>46</v>
      </c>
      <c r="F10" s="6">
        <f t="shared" si="0"/>
        <v>105.39999999999999</v>
      </c>
      <c r="G10" s="6">
        <f t="shared" si="1"/>
        <v>74.8</v>
      </c>
      <c r="H10" s="17">
        <f t="shared" si="2"/>
        <v>88.399999999999991</v>
      </c>
      <c r="I10" s="13">
        <f t="shared" si="3"/>
        <v>28.799999999999997</v>
      </c>
      <c r="K10" s="30">
        <v>8</v>
      </c>
      <c r="L10" t="s">
        <v>152</v>
      </c>
    </row>
    <row r="11" spans="1:13" x14ac:dyDescent="0.25">
      <c r="A11" t="s">
        <v>162</v>
      </c>
      <c r="B11" s="6">
        <v>98</v>
      </c>
      <c r="C11" s="6">
        <v>80</v>
      </c>
      <c r="D11" s="6">
        <v>0</v>
      </c>
      <c r="E11" s="6">
        <v>0</v>
      </c>
      <c r="F11" s="6">
        <f t="shared" si="0"/>
        <v>83.3</v>
      </c>
      <c r="G11" s="6">
        <f t="shared" si="1"/>
        <v>0</v>
      </c>
      <c r="H11" s="17">
        <f t="shared" si="2"/>
        <v>3.2999999999999972</v>
      </c>
      <c r="I11" s="13">
        <f t="shared" si="3"/>
        <v>0</v>
      </c>
      <c r="K11" s="30">
        <v>0</v>
      </c>
      <c r="L11" t="s">
        <v>162</v>
      </c>
    </row>
    <row r="12" spans="1:13" x14ac:dyDescent="0.25">
      <c r="A12" t="s">
        <v>46</v>
      </c>
      <c r="B12" s="6">
        <v>50</v>
      </c>
      <c r="C12" s="6">
        <v>29</v>
      </c>
      <c r="D12" s="6">
        <v>9</v>
      </c>
      <c r="E12" s="6">
        <v>5</v>
      </c>
      <c r="F12" s="6">
        <f t="shared" si="0"/>
        <v>42.5</v>
      </c>
      <c r="G12" s="6">
        <f t="shared" si="1"/>
        <v>7.6499999999999995</v>
      </c>
      <c r="H12" s="17">
        <f t="shared" si="2"/>
        <v>13.5</v>
      </c>
      <c r="I12" s="13">
        <f t="shared" si="3"/>
        <v>2.6499999999999995</v>
      </c>
      <c r="K12" s="30">
        <v>5</v>
      </c>
      <c r="L12" t="s">
        <v>46</v>
      </c>
      <c r="M12" s="11"/>
    </row>
    <row r="13" spans="1:13" x14ac:dyDescent="0.25">
      <c r="A13" t="s">
        <v>29</v>
      </c>
      <c r="B13" s="6">
        <v>94</v>
      </c>
      <c r="C13" s="6">
        <v>76</v>
      </c>
      <c r="D13" s="6">
        <v>19</v>
      </c>
      <c r="E13" s="6">
        <v>11</v>
      </c>
      <c r="F13" s="6">
        <f t="shared" si="0"/>
        <v>79.899999999999991</v>
      </c>
      <c r="G13" s="6">
        <f t="shared" si="1"/>
        <v>16.149999999999999</v>
      </c>
      <c r="H13" s="17">
        <f t="shared" si="2"/>
        <v>3.8999999999999915</v>
      </c>
      <c r="I13" s="13">
        <f t="shared" si="3"/>
        <v>5.1499999999999986</v>
      </c>
      <c r="K13" s="30">
        <v>0</v>
      </c>
      <c r="L13" t="s">
        <v>29</v>
      </c>
      <c r="M13" s="10"/>
    </row>
    <row r="14" spans="1:13" x14ac:dyDescent="0.25">
      <c r="A14" t="s">
        <v>159</v>
      </c>
      <c r="B14" s="6">
        <v>12</v>
      </c>
      <c r="C14" s="6">
        <v>9</v>
      </c>
      <c r="D14" s="6">
        <v>0</v>
      </c>
      <c r="E14" s="6">
        <v>0</v>
      </c>
      <c r="F14" s="6">
        <f t="shared" si="0"/>
        <v>10.199999999999999</v>
      </c>
      <c r="G14" s="6">
        <f t="shared" si="1"/>
        <v>0</v>
      </c>
      <c r="H14" s="17">
        <f t="shared" si="2"/>
        <v>1.1999999999999993</v>
      </c>
      <c r="I14" s="13">
        <f t="shared" si="3"/>
        <v>0</v>
      </c>
      <c r="K14" s="30">
        <v>0</v>
      </c>
      <c r="L14" t="s">
        <v>159</v>
      </c>
      <c r="M14" s="9"/>
    </row>
    <row r="15" spans="1:13" x14ac:dyDescent="0.25">
      <c r="A15" t="s">
        <v>172</v>
      </c>
      <c r="B15" s="6">
        <v>54</v>
      </c>
      <c r="C15" s="6">
        <v>25</v>
      </c>
      <c r="D15" s="6">
        <v>30</v>
      </c>
      <c r="E15" s="6">
        <v>0</v>
      </c>
      <c r="F15" s="6">
        <f t="shared" si="0"/>
        <v>45.9</v>
      </c>
      <c r="G15" s="6">
        <f t="shared" si="1"/>
        <v>25.5</v>
      </c>
      <c r="H15" s="15">
        <f t="shared" si="2"/>
        <v>20.9</v>
      </c>
      <c r="I15" s="13">
        <f t="shared" si="3"/>
        <v>25.5</v>
      </c>
      <c r="K15" s="30">
        <v>5</v>
      </c>
      <c r="L15" t="s">
        <v>172</v>
      </c>
      <c r="M15" s="9"/>
    </row>
    <row r="16" spans="1:13" x14ac:dyDescent="0.25">
      <c r="A16" t="s">
        <v>183</v>
      </c>
      <c r="B16" s="6">
        <v>237</v>
      </c>
      <c r="C16" s="6"/>
      <c r="D16" s="6">
        <v>0</v>
      </c>
      <c r="E16" s="6"/>
      <c r="F16" s="6">
        <f t="shared" si="0"/>
        <v>201.45</v>
      </c>
      <c r="G16" s="6">
        <f t="shared" si="1"/>
        <v>0</v>
      </c>
      <c r="H16" s="15">
        <f t="shared" si="2"/>
        <v>201.45</v>
      </c>
      <c r="I16" s="13">
        <f t="shared" si="3"/>
        <v>0</v>
      </c>
      <c r="K16" s="30">
        <v>2</v>
      </c>
      <c r="L16" t="s">
        <v>183</v>
      </c>
    </row>
    <row r="17" spans="1:12" x14ac:dyDescent="0.25">
      <c r="A17" t="s">
        <v>155</v>
      </c>
      <c r="B17" s="6">
        <v>0</v>
      </c>
      <c r="C17" s="6">
        <v>12.5</v>
      </c>
      <c r="D17" s="6">
        <v>0</v>
      </c>
      <c r="E17" s="6">
        <v>0</v>
      </c>
      <c r="F17" s="6">
        <f t="shared" si="0"/>
        <v>0</v>
      </c>
      <c r="G17" s="6">
        <f t="shared" si="1"/>
        <v>0</v>
      </c>
      <c r="H17" s="15">
        <f t="shared" si="2"/>
        <v>-12.5</v>
      </c>
      <c r="I17" s="13">
        <f t="shared" si="3"/>
        <v>0</v>
      </c>
      <c r="K17" s="30">
        <v>0</v>
      </c>
      <c r="L17" t="s">
        <v>155</v>
      </c>
    </row>
    <row r="18" spans="1:12" x14ac:dyDescent="0.25">
      <c r="A18" t="s">
        <v>164</v>
      </c>
      <c r="B18" s="6">
        <v>37</v>
      </c>
      <c r="C18" s="6">
        <v>13.5</v>
      </c>
      <c r="D18" s="6">
        <v>0</v>
      </c>
      <c r="E18" s="6">
        <v>0</v>
      </c>
      <c r="F18" s="6">
        <f t="shared" si="0"/>
        <v>31.45</v>
      </c>
      <c r="G18" s="6">
        <f t="shared" si="1"/>
        <v>0</v>
      </c>
      <c r="H18" s="15">
        <f t="shared" si="2"/>
        <v>17.95</v>
      </c>
      <c r="I18" s="13">
        <f t="shared" si="3"/>
        <v>0</v>
      </c>
      <c r="K18" s="30">
        <v>0</v>
      </c>
      <c r="L18" t="s">
        <v>164</v>
      </c>
    </row>
    <row r="19" spans="1:12" x14ac:dyDescent="0.25">
      <c r="A19" t="s">
        <v>166</v>
      </c>
      <c r="B19" s="6">
        <v>25</v>
      </c>
      <c r="C19" s="6">
        <v>8.5</v>
      </c>
      <c r="D19" s="6">
        <v>0</v>
      </c>
      <c r="E19" s="6">
        <v>0</v>
      </c>
      <c r="F19" s="6">
        <f t="shared" si="0"/>
        <v>21.25</v>
      </c>
      <c r="G19" s="6">
        <f t="shared" si="1"/>
        <v>0</v>
      </c>
      <c r="H19" s="15">
        <f t="shared" si="2"/>
        <v>12.75</v>
      </c>
      <c r="I19" s="13">
        <f t="shared" si="3"/>
        <v>0</v>
      </c>
      <c r="K19" s="30">
        <v>0</v>
      </c>
      <c r="L19" s="10" t="s">
        <v>166</v>
      </c>
    </row>
    <row r="20" spans="1:12" x14ac:dyDescent="0.25">
      <c r="A20" t="s">
        <v>168</v>
      </c>
      <c r="B20" s="6">
        <v>37</v>
      </c>
      <c r="C20" s="6">
        <v>12.5</v>
      </c>
      <c r="D20" s="6">
        <v>0</v>
      </c>
      <c r="E20" s="6">
        <v>0</v>
      </c>
      <c r="F20" s="6">
        <f t="shared" si="0"/>
        <v>31.45</v>
      </c>
      <c r="G20" s="6">
        <f t="shared" si="1"/>
        <v>0</v>
      </c>
      <c r="H20" s="15">
        <f t="shared" si="2"/>
        <v>18.95</v>
      </c>
      <c r="I20" s="13">
        <f t="shared" si="3"/>
        <v>0</v>
      </c>
      <c r="K20" s="30">
        <v>0</v>
      </c>
      <c r="L20" t="s">
        <v>168</v>
      </c>
    </row>
    <row r="21" spans="1:12" x14ac:dyDescent="0.25">
      <c r="A21" t="s">
        <v>157</v>
      </c>
      <c r="B21" s="6">
        <v>47</v>
      </c>
      <c r="C21" s="6">
        <v>19</v>
      </c>
      <c r="D21" s="6">
        <v>0</v>
      </c>
      <c r="E21" s="6">
        <v>0</v>
      </c>
      <c r="F21" s="6"/>
      <c r="G21" s="6">
        <f t="shared" si="1"/>
        <v>0</v>
      </c>
      <c r="H21" s="15">
        <f t="shared" si="2"/>
        <v>-19</v>
      </c>
      <c r="I21" s="13">
        <f t="shared" si="3"/>
        <v>0</v>
      </c>
      <c r="K21" s="30">
        <v>0</v>
      </c>
      <c r="L21" t="s">
        <v>157</v>
      </c>
    </row>
    <row r="22" spans="1:12" x14ac:dyDescent="0.25">
      <c r="A22" t="s">
        <v>181</v>
      </c>
      <c r="B22" s="6">
        <v>0</v>
      </c>
      <c r="C22" s="6"/>
      <c r="D22" s="6">
        <v>0</v>
      </c>
      <c r="E22" s="6"/>
      <c r="F22" s="6">
        <f t="shared" ref="F22:F54" si="4">$F$2*B22</f>
        <v>0</v>
      </c>
      <c r="G22" s="6">
        <f t="shared" si="1"/>
        <v>0</v>
      </c>
      <c r="H22" s="15">
        <f t="shared" si="2"/>
        <v>0</v>
      </c>
      <c r="I22" s="13">
        <f t="shared" si="3"/>
        <v>0</v>
      </c>
      <c r="K22" s="30">
        <v>0</v>
      </c>
      <c r="L22" t="s">
        <v>181</v>
      </c>
    </row>
    <row r="23" spans="1:12" x14ac:dyDescent="0.25">
      <c r="A23" t="s">
        <v>179</v>
      </c>
      <c r="B23" s="6">
        <v>54</v>
      </c>
      <c r="C23" s="6"/>
      <c r="D23" s="6">
        <v>0</v>
      </c>
      <c r="E23" s="6"/>
      <c r="F23" s="6">
        <f t="shared" si="4"/>
        <v>45.9</v>
      </c>
      <c r="G23" s="6">
        <f t="shared" si="1"/>
        <v>0</v>
      </c>
      <c r="H23" s="15">
        <f t="shared" si="2"/>
        <v>45.9</v>
      </c>
      <c r="I23" s="13">
        <f t="shared" si="3"/>
        <v>0</v>
      </c>
      <c r="K23" s="30">
        <v>8</v>
      </c>
      <c r="L23" t="s">
        <v>179</v>
      </c>
    </row>
    <row r="24" spans="1:12" x14ac:dyDescent="0.25">
      <c r="A24" t="s">
        <v>68</v>
      </c>
      <c r="B24" s="6">
        <v>1421</v>
      </c>
      <c r="C24" s="6">
        <v>648</v>
      </c>
      <c r="D24" s="6">
        <v>495</v>
      </c>
      <c r="E24" s="6">
        <v>272</v>
      </c>
      <c r="F24" s="6">
        <f t="shared" si="4"/>
        <v>1207.8499999999999</v>
      </c>
      <c r="G24" s="6">
        <f t="shared" si="1"/>
        <v>420.75</v>
      </c>
      <c r="H24" s="15">
        <f t="shared" si="2"/>
        <v>559.84999999999991</v>
      </c>
      <c r="I24" s="13">
        <f t="shared" si="3"/>
        <v>148.75</v>
      </c>
      <c r="K24">
        <f>SUM(K4:K23)</f>
        <v>41</v>
      </c>
    </row>
    <row r="25" spans="1:12" x14ac:dyDescent="0.25">
      <c r="F25" s="6">
        <f t="shared" si="4"/>
        <v>0</v>
      </c>
      <c r="G25" s="6">
        <f t="shared" si="1"/>
        <v>0</v>
      </c>
      <c r="H25" s="15">
        <f t="shared" si="2"/>
        <v>0</v>
      </c>
      <c r="I25" s="13">
        <f t="shared" si="3"/>
        <v>0</v>
      </c>
    </row>
    <row r="26" spans="1:12" x14ac:dyDescent="0.25">
      <c r="F26" s="6">
        <f t="shared" si="4"/>
        <v>0</v>
      </c>
      <c r="G26" s="6">
        <f t="shared" si="1"/>
        <v>0</v>
      </c>
      <c r="H26" s="15">
        <f t="shared" si="2"/>
        <v>0</v>
      </c>
      <c r="I26" s="13">
        <f t="shared" si="3"/>
        <v>0</v>
      </c>
    </row>
    <row r="27" spans="1:12" x14ac:dyDescent="0.25">
      <c r="F27" s="6">
        <f t="shared" si="4"/>
        <v>0</v>
      </c>
      <c r="G27" s="6">
        <f t="shared" si="1"/>
        <v>0</v>
      </c>
      <c r="H27" s="15">
        <f t="shared" si="2"/>
        <v>0</v>
      </c>
      <c r="I27" s="13">
        <f t="shared" si="3"/>
        <v>0</v>
      </c>
    </row>
    <row r="28" spans="1:12" x14ac:dyDescent="0.25">
      <c r="F28" s="6">
        <f t="shared" si="4"/>
        <v>0</v>
      </c>
      <c r="G28" s="6">
        <f t="shared" si="1"/>
        <v>0</v>
      </c>
      <c r="H28" s="15">
        <f t="shared" si="2"/>
        <v>0</v>
      </c>
      <c r="I28" s="13">
        <f t="shared" si="3"/>
        <v>0</v>
      </c>
    </row>
    <row r="29" spans="1:12" x14ac:dyDescent="0.25">
      <c r="F29" s="6">
        <f t="shared" si="4"/>
        <v>0</v>
      </c>
      <c r="G29" s="6">
        <f t="shared" si="1"/>
        <v>0</v>
      </c>
      <c r="H29" s="15">
        <f t="shared" si="2"/>
        <v>0</v>
      </c>
      <c r="I29" s="13">
        <f t="shared" si="3"/>
        <v>0</v>
      </c>
    </row>
    <row r="30" spans="1:12" x14ac:dyDescent="0.25">
      <c r="F30" s="6">
        <f t="shared" si="4"/>
        <v>0</v>
      </c>
      <c r="G30" s="6">
        <f t="shared" si="1"/>
        <v>0</v>
      </c>
      <c r="H30" s="15">
        <f t="shared" si="2"/>
        <v>0</v>
      </c>
      <c r="I30" s="13">
        <f t="shared" si="3"/>
        <v>0</v>
      </c>
    </row>
    <row r="31" spans="1:12" x14ac:dyDescent="0.25">
      <c r="F31" s="6">
        <f t="shared" si="4"/>
        <v>0</v>
      </c>
      <c r="G31" s="6">
        <f t="shared" si="1"/>
        <v>0</v>
      </c>
      <c r="H31" s="15">
        <f t="shared" si="2"/>
        <v>0</v>
      </c>
      <c r="I31" s="13">
        <f t="shared" si="3"/>
        <v>0</v>
      </c>
    </row>
    <row r="32" spans="1:12" x14ac:dyDescent="0.25">
      <c r="F32" s="6">
        <f t="shared" si="4"/>
        <v>0</v>
      </c>
      <c r="G32" s="6">
        <f t="shared" si="1"/>
        <v>0</v>
      </c>
      <c r="H32" s="15">
        <f t="shared" si="2"/>
        <v>0</v>
      </c>
      <c r="I32" s="13">
        <f t="shared" si="3"/>
        <v>0</v>
      </c>
    </row>
    <row r="33" spans="6:9" x14ac:dyDescent="0.25">
      <c r="F33" s="6">
        <f t="shared" si="4"/>
        <v>0</v>
      </c>
      <c r="G33" s="6">
        <f t="shared" si="1"/>
        <v>0</v>
      </c>
      <c r="H33" s="15">
        <f t="shared" si="2"/>
        <v>0</v>
      </c>
      <c r="I33" s="13">
        <f t="shared" si="3"/>
        <v>0</v>
      </c>
    </row>
    <row r="34" spans="6:9" x14ac:dyDescent="0.25">
      <c r="F34" s="6">
        <f t="shared" si="4"/>
        <v>0</v>
      </c>
      <c r="G34" s="6">
        <f t="shared" si="1"/>
        <v>0</v>
      </c>
      <c r="H34" s="15">
        <f t="shared" si="2"/>
        <v>0</v>
      </c>
      <c r="I34" s="13">
        <f t="shared" si="3"/>
        <v>0</v>
      </c>
    </row>
    <row r="35" spans="6:9" x14ac:dyDescent="0.25">
      <c r="F35" s="6">
        <f t="shared" si="4"/>
        <v>0</v>
      </c>
      <c r="G35" s="6">
        <f t="shared" si="1"/>
        <v>0</v>
      </c>
      <c r="H35" s="15">
        <f t="shared" si="2"/>
        <v>0</v>
      </c>
      <c r="I35" s="13">
        <f t="shared" si="3"/>
        <v>0</v>
      </c>
    </row>
    <row r="36" spans="6:9" x14ac:dyDescent="0.25">
      <c r="F36" s="6">
        <f t="shared" si="4"/>
        <v>0</v>
      </c>
      <c r="G36" s="6">
        <f t="shared" ref="G36:G54" si="5">$G$2*D36</f>
        <v>0</v>
      </c>
      <c r="H36" s="15">
        <f t="shared" ref="H36:H54" si="6">F36-C36</f>
        <v>0</v>
      </c>
      <c r="I36" s="13">
        <f t="shared" ref="I36:I54" si="7">G36-E36</f>
        <v>0</v>
      </c>
    </row>
    <row r="37" spans="6:9" x14ac:dyDescent="0.25">
      <c r="F37" s="6">
        <f t="shared" si="4"/>
        <v>0</v>
      </c>
      <c r="G37" s="6">
        <f t="shared" si="5"/>
        <v>0</v>
      </c>
      <c r="H37" s="15">
        <f t="shared" si="6"/>
        <v>0</v>
      </c>
      <c r="I37" s="13">
        <f t="shared" si="7"/>
        <v>0</v>
      </c>
    </row>
    <row r="38" spans="6:9" x14ac:dyDescent="0.25">
      <c r="F38" s="6">
        <f t="shared" si="4"/>
        <v>0</v>
      </c>
      <c r="G38" s="6">
        <f t="shared" si="5"/>
        <v>0</v>
      </c>
      <c r="H38" s="15">
        <f t="shared" si="6"/>
        <v>0</v>
      </c>
      <c r="I38" s="13">
        <f t="shared" si="7"/>
        <v>0</v>
      </c>
    </row>
    <row r="39" spans="6:9" x14ac:dyDescent="0.25">
      <c r="F39" s="6">
        <f t="shared" si="4"/>
        <v>0</v>
      </c>
      <c r="G39" s="6">
        <f t="shared" si="5"/>
        <v>0</v>
      </c>
      <c r="H39" s="15">
        <f t="shared" si="6"/>
        <v>0</v>
      </c>
      <c r="I39" s="13">
        <f t="shared" si="7"/>
        <v>0</v>
      </c>
    </row>
    <row r="40" spans="6:9" x14ac:dyDescent="0.25">
      <c r="F40" s="6">
        <f t="shared" si="4"/>
        <v>0</v>
      </c>
      <c r="G40" s="6">
        <f t="shared" si="5"/>
        <v>0</v>
      </c>
      <c r="H40" s="15">
        <f t="shared" si="6"/>
        <v>0</v>
      </c>
      <c r="I40" s="13">
        <f t="shared" si="7"/>
        <v>0</v>
      </c>
    </row>
    <row r="41" spans="6:9" x14ac:dyDescent="0.25">
      <c r="F41" s="6">
        <f t="shared" si="4"/>
        <v>0</v>
      </c>
      <c r="G41" s="6">
        <f t="shared" si="5"/>
        <v>0</v>
      </c>
      <c r="H41" s="15">
        <f t="shared" si="6"/>
        <v>0</v>
      </c>
      <c r="I41" s="13">
        <f t="shared" si="7"/>
        <v>0</v>
      </c>
    </row>
    <row r="42" spans="6:9" x14ac:dyDescent="0.25">
      <c r="F42" s="6">
        <f t="shared" si="4"/>
        <v>0</v>
      </c>
      <c r="G42" s="6">
        <f t="shared" si="5"/>
        <v>0</v>
      </c>
      <c r="H42" s="15">
        <f t="shared" si="6"/>
        <v>0</v>
      </c>
      <c r="I42" s="13">
        <f t="shared" si="7"/>
        <v>0</v>
      </c>
    </row>
    <row r="43" spans="6:9" x14ac:dyDescent="0.25">
      <c r="F43" s="6">
        <f t="shared" si="4"/>
        <v>0</v>
      </c>
      <c r="G43" s="6">
        <f t="shared" si="5"/>
        <v>0</v>
      </c>
      <c r="H43" s="15">
        <f t="shared" si="6"/>
        <v>0</v>
      </c>
      <c r="I43" s="13">
        <f t="shared" si="7"/>
        <v>0</v>
      </c>
    </row>
    <row r="44" spans="6:9" x14ac:dyDescent="0.25">
      <c r="F44" s="6">
        <f t="shared" si="4"/>
        <v>0</v>
      </c>
      <c r="G44" s="6">
        <f t="shared" si="5"/>
        <v>0</v>
      </c>
      <c r="H44" s="15">
        <f t="shared" si="6"/>
        <v>0</v>
      </c>
      <c r="I44" s="13">
        <f t="shared" si="7"/>
        <v>0</v>
      </c>
    </row>
    <row r="45" spans="6:9" x14ac:dyDescent="0.25">
      <c r="F45" s="6">
        <f t="shared" si="4"/>
        <v>0</v>
      </c>
      <c r="G45" s="6">
        <f t="shared" si="5"/>
        <v>0</v>
      </c>
      <c r="H45" s="15">
        <f t="shared" si="6"/>
        <v>0</v>
      </c>
      <c r="I45" s="13">
        <f t="shared" si="7"/>
        <v>0</v>
      </c>
    </row>
    <row r="46" spans="6:9" x14ac:dyDescent="0.25">
      <c r="F46" s="6">
        <f t="shared" si="4"/>
        <v>0</v>
      </c>
      <c r="G46" s="6">
        <f t="shared" si="5"/>
        <v>0</v>
      </c>
      <c r="H46" s="15">
        <f t="shared" si="6"/>
        <v>0</v>
      </c>
      <c r="I46" s="13">
        <f t="shared" si="7"/>
        <v>0</v>
      </c>
    </row>
    <row r="47" spans="6:9" x14ac:dyDescent="0.25">
      <c r="F47" s="6">
        <f t="shared" si="4"/>
        <v>0</v>
      </c>
      <c r="G47" s="6">
        <f t="shared" si="5"/>
        <v>0</v>
      </c>
      <c r="H47" s="15">
        <f t="shared" si="6"/>
        <v>0</v>
      </c>
      <c r="I47" s="13">
        <f t="shared" si="7"/>
        <v>0</v>
      </c>
    </row>
    <row r="48" spans="6:9" x14ac:dyDescent="0.25">
      <c r="F48" s="6">
        <f t="shared" si="4"/>
        <v>0</v>
      </c>
      <c r="G48" s="6">
        <f t="shared" si="5"/>
        <v>0</v>
      </c>
      <c r="H48" s="15">
        <f t="shared" si="6"/>
        <v>0</v>
      </c>
      <c r="I48" s="13">
        <f t="shared" si="7"/>
        <v>0</v>
      </c>
    </row>
    <row r="49" spans="6:9" x14ac:dyDescent="0.25">
      <c r="F49" s="6">
        <f t="shared" si="4"/>
        <v>0</v>
      </c>
      <c r="G49" s="6">
        <f t="shared" si="5"/>
        <v>0</v>
      </c>
      <c r="H49" s="15">
        <f t="shared" si="6"/>
        <v>0</v>
      </c>
      <c r="I49" s="13">
        <f t="shared" si="7"/>
        <v>0</v>
      </c>
    </row>
    <row r="50" spans="6:9" x14ac:dyDescent="0.25">
      <c r="F50" s="6">
        <f t="shared" si="4"/>
        <v>0</v>
      </c>
      <c r="G50" s="6">
        <f t="shared" si="5"/>
        <v>0</v>
      </c>
      <c r="H50" s="15">
        <f t="shared" si="6"/>
        <v>0</v>
      </c>
      <c r="I50" s="13">
        <f t="shared" si="7"/>
        <v>0</v>
      </c>
    </row>
    <row r="51" spans="6:9" x14ac:dyDescent="0.25">
      <c r="F51" s="6">
        <f t="shared" si="4"/>
        <v>0</v>
      </c>
      <c r="G51" s="6">
        <f t="shared" si="5"/>
        <v>0</v>
      </c>
      <c r="H51" s="15">
        <f t="shared" si="6"/>
        <v>0</v>
      </c>
      <c r="I51" s="13">
        <f t="shared" si="7"/>
        <v>0</v>
      </c>
    </row>
    <row r="52" spans="6:9" x14ac:dyDescent="0.25">
      <c r="F52" s="6">
        <f t="shared" si="4"/>
        <v>0</v>
      </c>
      <c r="G52" s="6">
        <f t="shared" si="5"/>
        <v>0</v>
      </c>
      <c r="H52" s="15">
        <f t="shared" si="6"/>
        <v>0</v>
      </c>
      <c r="I52" s="13">
        <f t="shared" si="7"/>
        <v>0</v>
      </c>
    </row>
    <row r="53" spans="6:9" x14ac:dyDescent="0.25">
      <c r="F53" s="6">
        <f t="shared" si="4"/>
        <v>0</v>
      </c>
      <c r="G53" s="6">
        <f t="shared" si="5"/>
        <v>0</v>
      </c>
      <c r="H53" s="15">
        <f t="shared" si="6"/>
        <v>0</v>
      </c>
      <c r="I53" s="13">
        <f t="shared" si="7"/>
        <v>0</v>
      </c>
    </row>
    <row r="54" spans="6:9" x14ac:dyDescent="0.25">
      <c r="F54" s="6">
        <f t="shared" si="4"/>
        <v>0</v>
      </c>
      <c r="G54" s="6">
        <f t="shared" si="5"/>
        <v>0</v>
      </c>
      <c r="H54" s="15">
        <f t="shared" si="6"/>
        <v>0</v>
      </c>
      <c r="I54" s="13">
        <f t="shared" si="7"/>
        <v>0</v>
      </c>
    </row>
  </sheetData>
  <autoFilter ref="K3:L14"/>
  <conditionalFormatting sqref="F1:I1048576">
    <cfRule type="expression" dxfId="42" priority="4">
      <formula>AND(LEN($A1)&gt;0,LEN($A2)=0)</formula>
    </cfRule>
    <cfRule type="expression" dxfId="41" priority="5">
      <formula>$H1=0</formula>
    </cfRule>
    <cfRule type="expression" dxfId="40" priority="6">
      <formula>LEN($A1)&gt;0</formula>
    </cfRule>
  </conditionalFormatting>
  <pageMargins left="0.7" right="0.7" top="0.75" bottom="0.75" header="0.3" footer="0.3"/>
  <pageSetup scale="6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tTimesheetData">
                <anchor>
                  <from>
                    <xdr:col>0</xdr:col>
                    <xdr:colOff>2162175</xdr:colOff>
                    <xdr:row>1</xdr:row>
                    <xdr:rowOff>304800</xdr:rowOff>
                  </from>
                  <to>
                    <xdr:col>7</xdr:col>
                    <xdr:colOff>504825</xdr:colOff>
                    <xdr:row>1</xdr:row>
                    <xdr:rowOff>533400</xdr:rowOff>
                  </to>
                </anchor>
              </controlPr>
            </control>
          </mc:Choice>
        </mc:AlternateContent>
        <mc:AlternateContent xmlns:mc="http://schemas.openxmlformats.org/markup-compatibility/2006">
          <mc:Choice Requires="x14">
            <control shapeId="1027" r:id="rId6" name="Button 3">
              <controlPr defaultSize="0" print="0" autoFill="0" autoPict="0" macro="[0]!OpenTimesheet">
                <anchor>
                  <from>
                    <xdr:col>0</xdr:col>
                    <xdr:colOff>2162175</xdr:colOff>
                    <xdr:row>0</xdr:row>
                    <xdr:rowOff>0</xdr:rowOff>
                  </from>
                  <to>
                    <xdr:col>7</xdr:col>
                    <xdr:colOff>504825</xdr:colOff>
                    <xdr:row>1</xdr:row>
                    <xdr:rowOff>38100</xdr:rowOff>
                  </to>
                </anchor>
              </controlPr>
            </control>
          </mc:Choice>
        </mc:AlternateContent>
        <mc:AlternateContent xmlns:mc="http://schemas.openxmlformats.org/markup-compatibility/2006">
          <mc:Choice Requires="x14">
            <control shapeId="1028" r:id="rId7" name="Button 4">
              <controlPr defaultSize="0" print="0" autoFill="0" autoPict="0" macro="[0]!UpdateProjectsList">
                <anchor>
                  <from>
                    <xdr:col>0</xdr:col>
                    <xdr:colOff>2162175</xdr:colOff>
                    <xdr:row>1</xdr:row>
                    <xdr:rowOff>57150</xdr:rowOff>
                  </from>
                  <to>
                    <xdr:col>7</xdr:col>
                    <xdr:colOff>504825</xdr:colOff>
                    <xdr:row>1</xdr:row>
                    <xdr:rowOff>285750</xdr:rowOff>
                  </to>
                </anchor>
              </controlPr>
            </control>
          </mc:Choice>
        </mc:AlternateContent>
        <mc:AlternateContent xmlns:mc="http://schemas.openxmlformats.org/markup-compatibility/2006">
          <mc:Choice Requires="x14">
            <control shapeId="1029" r:id="rId8" name="Button 5">
              <controlPr defaultSize="0" print="0" autoFill="0" autoPict="0" macro="[0]!CreateEmailRequestingNewProject">
                <anchor>
                  <from>
                    <xdr:col>7</xdr:col>
                    <xdr:colOff>523875</xdr:colOff>
                    <xdr:row>0</xdr:row>
                    <xdr:rowOff>0</xdr:rowOff>
                  </from>
                  <to>
                    <xdr:col>11</xdr:col>
                    <xdr:colOff>847725</xdr:colOff>
                    <xdr:row>1</xdr:row>
                    <xdr:rowOff>38100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24"/>
  <sheetViews>
    <sheetView workbookViewId="0">
      <pane ySplit="1" topLeftCell="A398" activePane="bottomLeft" state="frozen"/>
      <selection pane="bottomLeft" activeCell="A418" sqref="A418"/>
    </sheetView>
  </sheetViews>
  <sheetFormatPr defaultRowHeight="15" x14ac:dyDescent="0.25"/>
  <cols>
    <col min="1" max="1" width="14.85546875" customWidth="1"/>
    <col min="2" max="2" width="13.7109375" style="6" customWidth="1"/>
    <col min="3" max="3" width="30.7109375" bestFit="1" customWidth="1"/>
    <col min="5" max="5" width="7.28515625" customWidth="1"/>
    <col min="6" max="6" width="6.42578125" customWidth="1"/>
    <col min="7" max="7" width="7.42578125" customWidth="1"/>
    <col min="8" max="8" width="6.42578125" customWidth="1"/>
    <col min="9" max="9" width="5.42578125" customWidth="1"/>
    <col min="10" max="10" width="5.85546875" customWidth="1"/>
    <col min="11" max="11" width="6.42578125" customWidth="1"/>
    <col min="12" max="12" width="7.5703125" customWidth="1"/>
  </cols>
  <sheetData>
    <row r="1" spans="1:14" x14ac:dyDescent="0.25">
      <c r="A1" t="s">
        <v>23</v>
      </c>
      <c r="B1" s="6" t="s">
        <v>116</v>
      </c>
      <c r="C1" t="s">
        <v>21</v>
      </c>
      <c r="D1" t="s">
        <v>22</v>
      </c>
      <c r="E1" t="s">
        <v>8</v>
      </c>
      <c r="F1" t="s">
        <v>9</v>
      </c>
      <c r="G1" t="s">
        <v>10</v>
      </c>
      <c r="H1" t="s">
        <v>11</v>
      </c>
      <c r="I1" t="s">
        <v>12</v>
      </c>
      <c r="J1" t="s">
        <v>13</v>
      </c>
      <c r="K1" t="s">
        <v>14</v>
      </c>
      <c r="L1" t="s">
        <v>15</v>
      </c>
      <c r="M1" t="s">
        <v>69</v>
      </c>
      <c r="N1" t="s">
        <v>70</v>
      </c>
    </row>
    <row r="2" spans="1:14" x14ac:dyDescent="0.25">
      <c r="A2" s="2">
        <v>43289</v>
      </c>
      <c r="B2" s="8">
        <v>17053021</v>
      </c>
      <c r="C2" s="1" t="s">
        <v>1</v>
      </c>
      <c r="D2" s="1"/>
      <c r="E2" s="3">
        <v>5</v>
      </c>
      <c r="F2" s="3">
        <v>5</v>
      </c>
      <c r="G2" s="3">
        <v>0</v>
      </c>
      <c r="H2" s="3">
        <v>5</v>
      </c>
      <c r="I2" s="3">
        <v>3</v>
      </c>
      <c r="J2" s="3">
        <v>0</v>
      </c>
      <c r="K2" s="3">
        <v>0</v>
      </c>
      <c r="L2" s="3">
        <v>18</v>
      </c>
      <c r="M2" s="3">
        <f>IF(LEFT(tbl_timesheet[[#This Row],[Activity]],1)="5",tbl_timesheet[[#This Row],[Total]],0)</f>
        <v>0</v>
      </c>
      <c r="N2" s="3">
        <f>IF(LEFT(tbl_timesheet[[#This Row],[Activity]],1)="6",tbl_timesheet[[#This Row],[Total]],0)</f>
        <v>18</v>
      </c>
    </row>
    <row r="3" spans="1:14" x14ac:dyDescent="0.25">
      <c r="A3" s="2">
        <v>43289</v>
      </c>
      <c r="B3" s="8">
        <v>18000000</v>
      </c>
      <c r="C3" s="1" t="s">
        <v>3</v>
      </c>
      <c r="D3" s="1"/>
      <c r="E3" s="3">
        <v>0</v>
      </c>
      <c r="F3" s="3">
        <v>0</v>
      </c>
      <c r="G3" s="3">
        <v>8</v>
      </c>
      <c r="H3" s="3">
        <v>0</v>
      </c>
      <c r="I3" s="3">
        <v>0</v>
      </c>
      <c r="J3" s="3">
        <v>0</v>
      </c>
      <c r="K3" s="3">
        <v>0</v>
      </c>
      <c r="L3" s="3">
        <v>8</v>
      </c>
      <c r="M3" s="3">
        <f>IF(LEFT(tbl_timesheet[[#This Row],[Activity]],1)="5",tbl_timesheet[[#This Row],[Total]],0)</f>
        <v>0</v>
      </c>
      <c r="N3" s="3">
        <f>IF(LEFT(tbl_timesheet[[#This Row],[Activity]],1)="6",tbl_timesheet[[#This Row],[Total]],0)</f>
        <v>8</v>
      </c>
    </row>
    <row r="4" spans="1:14" x14ac:dyDescent="0.25">
      <c r="A4" s="2">
        <v>43289</v>
      </c>
      <c r="B4" s="8">
        <v>18234008</v>
      </c>
      <c r="C4" s="1" t="s">
        <v>5</v>
      </c>
      <c r="D4" s="1"/>
      <c r="E4" s="3">
        <v>2</v>
      </c>
      <c r="F4" s="3">
        <v>0</v>
      </c>
      <c r="G4" s="3">
        <v>0</v>
      </c>
      <c r="H4" s="3">
        <v>0</v>
      </c>
      <c r="I4" s="3">
        <v>0</v>
      </c>
      <c r="J4" s="3">
        <v>0</v>
      </c>
      <c r="K4" s="3">
        <v>0</v>
      </c>
      <c r="L4" s="3">
        <v>2</v>
      </c>
      <c r="M4" s="3">
        <f>IF(LEFT(tbl_timesheet[[#This Row],[Activity]],1)="5",tbl_timesheet[[#This Row],[Total]],0)</f>
        <v>0</v>
      </c>
      <c r="N4" s="3">
        <f>IF(LEFT(tbl_timesheet[[#This Row],[Activity]],1)="6",tbl_timesheet[[#This Row],[Total]],0)</f>
        <v>2</v>
      </c>
    </row>
    <row r="5" spans="1:14" x14ac:dyDescent="0.25">
      <c r="A5" s="2">
        <v>43289</v>
      </c>
      <c r="B5" s="8">
        <v>18234008</v>
      </c>
      <c r="C5" s="1" t="s">
        <v>6</v>
      </c>
      <c r="D5" s="1"/>
      <c r="E5" s="3">
        <v>2</v>
      </c>
      <c r="F5" s="3">
        <v>0</v>
      </c>
      <c r="G5" s="3">
        <v>0</v>
      </c>
      <c r="H5" s="3">
        <v>0</v>
      </c>
      <c r="I5" s="3">
        <v>0</v>
      </c>
      <c r="J5" s="3">
        <v>0</v>
      </c>
      <c r="K5" s="3">
        <v>0</v>
      </c>
      <c r="L5" s="3">
        <v>2</v>
      </c>
      <c r="M5" s="3">
        <f>IF(LEFT(tbl_timesheet[[#This Row],[Activity]],1)="5",tbl_timesheet[[#This Row],[Total]],0)</f>
        <v>0</v>
      </c>
      <c r="N5" s="3">
        <f>IF(LEFT(tbl_timesheet[[#This Row],[Activity]],1)="6",tbl_timesheet[[#This Row],[Total]],0)</f>
        <v>2</v>
      </c>
    </row>
    <row r="6" spans="1:14" x14ac:dyDescent="0.25">
      <c r="A6" s="2">
        <v>43289</v>
      </c>
      <c r="B6" s="8">
        <v>18234009</v>
      </c>
      <c r="C6" s="1" t="s">
        <v>6</v>
      </c>
      <c r="D6" s="1"/>
      <c r="E6" s="3">
        <v>0</v>
      </c>
      <c r="F6" s="3">
        <v>2</v>
      </c>
      <c r="G6" s="3">
        <v>0</v>
      </c>
      <c r="H6" s="3">
        <v>0</v>
      </c>
      <c r="I6" s="3">
        <v>0</v>
      </c>
      <c r="J6" s="3">
        <v>0</v>
      </c>
      <c r="K6" s="3">
        <v>0</v>
      </c>
      <c r="L6" s="3">
        <v>2</v>
      </c>
      <c r="M6" s="3">
        <f>IF(LEFT(tbl_timesheet[[#This Row],[Activity]],1)="5",tbl_timesheet[[#This Row],[Total]],0)</f>
        <v>0</v>
      </c>
      <c r="N6" s="3">
        <f>IF(LEFT(tbl_timesheet[[#This Row],[Activity]],1)="6",tbl_timesheet[[#This Row],[Total]],0)</f>
        <v>2</v>
      </c>
    </row>
    <row r="7" spans="1:14" x14ac:dyDescent="0.25">
      <c r="A7" s="2">
        <v>43289</v>
      </c>
      <c r="B7" s="8">
        <v>18234009</v>
      </c>
      <c r="C7" s="1" t="s">
        <v>5</v>
      </c>
      <c r="D7" s="1"/>
      <c r="E7" s="3">
        <v>0</v>
      </c>
      <c r="F7" s="3">
        <v>2</v>
      </c>
      <c r="G7" s="3">
        <v>0</v>
      </c>
      <c r="H7" s="3">
        <v>0</v>
      </c>
      <c r="I7" s="3">
        <v>0</v>
      </c>
      <c r="J7" s="3">
        <v>0</v>
      </c>
      <c r="K7" s="3">
        <v>0</v>
      </c>
      <c r="L7" s="3">
        <v>2</v>
      </c>
      <c r="M7" s="3">
        <f>IF(LEFT(tbl_timesheet[[#This Row],[Activity]],1)="5",tbl_timesheet[[#This Row],[Total]],0)</f>
        <v>0</v>
      </c>
      <c r="N7" s="3">
        <f>IF(LEFT(tbl_timesheet[[#This Row],[Activity]],1)="6",tbl_timesheet[[#This Row],[Total]],0)</f>
        <v>2</v>
      </c>
    </row>
    <row r="8" spans="1:14" x14ac:dyDescent="0.25">
      <c r="A8" s="2">
        <v>43289</v>
      </c>
      <c r="B8" s="8">
        <v>18234011</v>
      </c>
      <c r="C8" s="1" t="s">
        <v>5</v>
      </c>
      <c r="D8" s="1"/>
      <c r="E8" s="3">
        <v>0</v>
      </c>
      <c r="F8" s="3">
        <v>0</v>
      </c>
      <c r="G8" s="3">
        <v>0</v>
      </c>
      <c r="H8" s="3">
        <v>2</v>
      </c>
      <c r="I8" s="3">
        <v>0</v>
      </c>
      <c r="J8" s="3">
        <v>0</v>
      </c>
      <c r="K8" s="3">
        <v>0</v>
      </c>
      <c r="L8" s="3">
        <v>2</v>
      </c>
      <c r="M8" s="3">
        <f>IF(LEFT(tbl_timesheet[[#This Row],[Activity]],1)="5",tbl_timesheet[[#This Row],[Total]],0)</f>
        <v>0</v>
      </c>
      <c r="N8" s="3">
        <f>IF(LEFT(tbl_timesheet[[#This Row],[Activity]],1)="6",tbl_timesheet[[#This Row],[Total]],0)</f>
        <v>2</v>
      </c>
    </row>
    <row r="9" spans="1:14" x14ac:dyDescent="0.25">
      <c r="A9" s="2">
        <v>43289</v>
      </c>
      <c r="B9" s="8">
        <v>18234011</v>
      </c>
      <c r="C9" s="1" t="s">
        <v>6</v>
      </c>
      <c r="D9" s="1"/>
      <c r="E9" s="3">
        <v>0</v>
      </c>
      <c r="F9" s="3">
        <v>0</v>
      </c>
      <c r="G9" s="3">
        <v>0</v>
      </c>
      <c r="H9" s="3">
        <v>2</v>
      </c>
      <c r="I9" s="3">
        <v>0</v>
      </c>
      <c r="J9" s="3">
        <v>0</v>
      </c>
      <c r="K9" s="3">
        <v>0</v>
      </c>
      <c r="L9" s="3">
        <v>2</v>
      </c>
      <c r="M9" s="3">
        <f>IF(LEFT(tbl_timesheet[[#This Row],[Activity]],1)="5",tbl_timesheet[[#This Row],[Total]],0)</f>
        <v>0</v>
      </c>
      <c r="N9" s="3">
        <f>IF(LEFT(tbl_timesheet[[#This Row],[Activity]],1)="6",tbl_timesheet[[#This Row],[Total]],0)</f>
        <v>2</v>
      </c>
    </row>
    <row r="10" spans="1:14" x14ac:dyDescent="0.25">
      <c r="A10" s="2">
        <v>43289</v>
      </c>
      <c r="B10" s="8">
        <v>18234012</v>
      </c>
      <c r="C10" s="1" t="s">
        <v>6</v>
      </c>
      <c r="D10" s="1"/>
      <c r="E10" s="3">
        <v>0</v>
      </c>
      <c r="F10" s="3">
        <v>0</v>
      </c>
      <c r="G10" s="3">
        <v>0</v>
      </c>
      <c r="H10" s="3">
        <v>0</v>
      </c>
      <c r="I10" s="3">
        <v>2</v>
      </c>
      <c r="J10" s="3">
        <v>0</v>
      </c>
      <c r="K10" s="3">
        <v>0</v>
      </c>
      <c r="L10" s="3">
        <v>2</v>
      </c>
      <c r="M10" s="3">
        <f>IF(LEFT(tbl_timesheet[[#This Row],[Activity]],1)="5",tbl_timesheet[[#This Row],[Total]],0)</f>
        <v>0</v>
      </c>
      <c r="N10" s="3">
        <f>IF(LEFT(tbl_timesheet[[#This Row],[Activity]],1)="6",tbl_timesheet[[#This Row],[Total]],0)</f>
        <v>2</v>
      </c>
    </row>
    <row r="11" spans="1:14" x14ac:dyDescent="0.25">
      <c r="A11" s="2">
        <v>43282</v>
      </c>
      <c r="B11" s="8">
        <v>17053021</v>
      </c>
      <c r="C11" s="1" t="s">
        <v>5</v>
      </c>
      <c r="D11" s="1"/>
      <c r="E11" s="3">
        <v>2</v>
      </c>
      <c r="F11" s="3">
        <v>2</v>
      </c>
      <c r="G11" s="3">
        <v>2</v>
      </c>
      <c r="H11" s="3">
        <v>2</v>
      </c>
      <c r="I11" s="3">
        <v>2</v>
      </c>
      <c r="J11" s="3">
        <v>0</v>
      </c>
      <c r="K11" s="3">
        <v>0</v>
      </c>
      <c r="L11" s="3">
        <v>10</v>
      </c>
      <c r="M11" s="3">
        <f>IF(LEFT(tbl_timesheet[[#This Row],[Activity]],1)="5",tbl_timesheet[[#This Row],[Total]],0)</f>
        <v>0</v>
      </c>
      <c r="N11" s="3">
        <f>IF(LEFT(tbl_timesheet[[#This Row],[Activity]],1)="6",tbl_timesheet[[#This Row],[Total]],0)</f>
        <v>10</v>
      </c>
    </row>
    <row r="12" spans="1:14" x14ac:dyDescent="0.25">
      <c r="A12" s="2">
        <v>43282</v>
      </c>
      <c r="B12" s="8">
        <v>18234008</v>
      </c>
      <c r="C12" s="1" t="s">
        <v>16</v>
      </c>
      <c r="D12" s="1"/>
      <c r="E12" s="3">
        <v>6</v>
      </c>
      <c r="F12" s="3">
        <v>0</v>
      </c>
      <c r="G12" s="3">
        <v>0</v>
      </c>
      <c r="H12" s="3">
        <v>0</v>
      </c>
      <c r="I12" s="3">
        <v>0</v>
      </c>
      <c r="J12" s="3">
        <v>0</v>
      </c>
      <c r="K12" s="3">
        <v>0</v>
      </c>
      <c r="L12" s="3">
        <v>6</v>
      </c>
      <c r="M12" s="3">
        <f>IF(LEFT(tbl_timesheet[[#This Row],[Activity]],1)="5",tbl_timesheet[[#This Row],[Total]],0)</f>
        <v>0</v>
      </c>
      <c r="N12" s="3">
        <f>IF(LEFT(tbl_timesheet[[#This Row],[Activity]],1)="6",tbl_timesheet[[#This Row],[Total]],0)</f>
        <v>6</v>
      </c>
    </row>
    <row r="13" spans="1:14" x14ac:dyDescent="0.25">
      <c r="A13" s="2">
        <v>43282</v>
      </c>
      <c r="B13" s="8">
        <v>18234008</v>
      </c>
      <c r="C13" s="1" t="s">
        <v>5</v>
      </c>
      <c r="D13" s="1"/>
      <c r="E13" s="3">
        <v>0</v>
      </c>
      <c r="F13" s="3">
        <v>6</v>
      </c>
      <c r="G13" s="3">
        <v>0</v>
      </c>
      <c r="H13" s="3">
        <v>0</v>
      </c>
      <c r="I13" s="3">
        <v>0</v>
      </c>
      <c r="J13" s="3">
        <v>0</v>
      </c>
      <c r="K13" s="3">
        <v>0</v>
      </c>
      <c r="L13" s="3">
        <v>6</v>
      </c>
      <c r="M13" s="3">
        <f>IF(LEFT(tbl_timesheet[[#This Row],[Activity]],1)="5",tbl_timesheet[[#This Row],[Total]],0)</f>
        <v>0</v>
      </c>
      <c r="N13" s="3">
        <f>IF(LEFT(tbl_timesheet[[#This Row],[Activity]],1)="6",tbl_timesheet[[#This Row],[Total]],0)</f>
        <v>6</v>
      </c>
    </row>
    <row r="14" spans="1:14" x14ac:dyDescent="0.25">
      <c r="A14" s="2">
        <v>43282</v>
      </c>
      <c r="B14" s="8">
        <v>18234011</v>
      </c>
      <c r="C14" s="1" t="s">
        <v>16</v>
      </c>
      <c r="D14" s="1"/>
      <c r="E14" s="3">
        <v>0</v>
      </c>
      <c r="F14" s="3">
        <v>0</v>
      </c>
      <c r="G14" s="3">
        <v>6</v>
      </c>
      <c r="H14" s="3">
        <v>0</v>
      </c>
      <c r="I14" s="3">
        <v>0</v>
      </c>
      <c r="J14" s="3">
        <v>0</v>
      </c>
      <c r="K14" s="3">
        <v>0</v>
      </c>
      <c r="L14" s="3">
        <v>6</v>
      </c>
      <c r="M14" s="3">
        <f>IF(LEFT(tbl_timesheet[[#This Row],[Activity]],1)="5",tbl_timesheet[[#This Row],[Total]],0)</f>
        <v>0</v>
      </c>
      <c r="N14" s="3">
        <f>IF(LEFT(tbl_timesheet[[#This Row],[Activity]],1)="6",tbl_timesheet[[#This Row],[Total]],0)</f>
        <v>6</v>
      </c>
    </row>
    <row r="15" spans="1:14" x14ac:dyDescent="0.25">
      <c r="A15" s="2">
        <v>43282</v>
      </c>
      <c r="B15" s="8">
        <v>18234011</v>
      </c>
      <c r="C15" s="1" t="s">
        <v>5</v>
      </c>
      <c r="D15" s="1"/>
      <c r="E15" s="3">
        <v>0</v>
      </c>
      <c r="F15" s="3">
        <v>0</v>
      </c>
      <c r="G15" s="3">
        <v>0</v>
      </c>
      <c r="H15" s="3">
        <v>6</v>
      </c>
      <c r="I15" s="3">
        <v>0</v>
      </c>
      <c r="J15" s="3">
        <v>0</v>
      </c>
      <c r="K15" s="3">
        <v>0</v>
      </c>
      <c r="L15" s="3">
        <v>6</v>
      </c>
      <c r="M15" s="3">
        <f>IF(LEFT(tbl_timesheet[[#This Row],[Activity]],1)="5",tbl_timesheet[[#This Row],[Total]],0)</f>
        <v>0</v>
      </c>
      <c r="N15" s="3">
        <f>IF(LEFT(tbl_timesheet[[#This Row],[Activity]],1)="6",tbl_timesheet[[#This Row],[Total]],0)</f>
        <v>6</v>
      </c>
    </row>
    <row r="16" spans="1:14" x14ac:dyDescent="0.25">
      <c r="A16" s="2">
        <v>43282</v>
      </c>
      <c r="B16" s="8">
        <v>18234012</v>
      </c>
      <c r="C16" s="1" t="s">
        <v>5</v>
      </c>
      <c r="D16" s="1"/>
      <c r="E16" s="3">
        <v>1</v>
      </c>
      <c r="F16" s="3">
        <v>1</v>
      </c>
      <c r="G16" s="3">
        <v>1</v>
      </c>
      <c r="H16" s="3">
        <v>1</v>
      </c>
      <c r="I16" s="3">
        <v>2</v>
      </c>
      <c r="J16" s="3">
        <v>0</v>
      </c>
      <c r="K16" s="3">
        <v>0</v>
      </c>
      <c r="L16" s="3">
        <v>6</v>
      </c>
      <c r="M16" s="3">
        <f>IF(LEFT(tbl_timesheet[[#This Row],[Activity]],1)="5",tbl_timesheet[[#This Row],[Total]],0)</f>
        <v>0</v>
      </c>
      <c r="N16" s="3">
        <f>IF(LEFT(tbl_timesheet[[#This Row],[Activity]],1)="6",tbl_timesheet[[#This Row],[Total]],0)</f>
        <v>6</v>
      </c>
    </row>
    <row r="17" spans="1:14" x14ac:dyDescent="0.25">
      <c r="A17" s="2">
        <v>43282</v>
      </c>
      <c r="B17" s="8">
        <v>18261010</v>
      </c>
      <c r="C17" s="1" t="s">
        <v>18</v>
      </c>
      <c r="D17" s="1"/>
      <c r="E17" s="3">
        <v>1</v>
      </c>
      <c r="F17" s="3">
        <v>1</v>
      </c>
      <c r="G17" s="3">
        <v>1</v>
      </c>
      <c r="H17" s="3">
        <v>0</v>
      </c>
      <c r="I17" s="3">
        <v>3</v>
      </c>
      <c r="J17" s="3">
        <v>0</v>
      </c>
      <c r="K17" s="3">
        <v>0</v>
      </c>
      <c r="L17" s="3">
        <v>6</v>
      </c>
      <c r="M17" s="3">
        <f>IF(LEFT(tbl_timesheet[[#This Row],[Activity]],1)="5",tbl_timesheet[[#This Row],[Total]],0)</f>
        <v>0</v>
      </c>
      <c r="N17" s="3">
        <f>IF(LEFT(tbl_timesheet[[#This Row],[Activity]],1)="6",tbl_timesheet[[#This Row],[Total]],0)</f>
        <v>6</v>
      </c>
    </row>
    <row r="18" spans="1:14" x14ac:dyDescent="0.25">
      <c r="A18" s="2">
        <v>43282</v>
      </c>
      <c r="B18" s="8">
        <v>18261048</v>
      </c>
      <c r="C18" s="1" t="s">
        <v>5</v>
      </c>
      <c r="D18" s="1"/>
      <c r="E18" s="3">
        <v>0</v>
      </c>
      <c r="F18" s="3">
        <v>0</v>
      </c>
      <c r="G18" s="3">
        <v>0</v>
      </c>
      <c r="H18" s="3">
        <v>1</v>
      </c>
      <c r="I18" s="3">
        <v>3</v>
      </c>
      <c r="J18" s="3">
        <v>0</v>
      </c>
      <c r="K18" s="3">
        <v>0</v>
      </c>
      <c r="L18" s="3">
        <v>4</v>
      </c>
      <c r="M18" s="3">
        <f>IF(LEFT(tbl_timesheet[[#This Row],[Activity]],1)="5",tbl_timesheet[[#This Row],[Total]],0)</f>
        <v>0</v>
      </c>
      <c r="N18" s="3">
        <f>IF(LEFT(tbl_timesheet[[#This Row],[Activity]],1)="6",tbl_timesheet[[#This Row],[Total]],0)</f>
        <v>4</v>
      </c>
    </row>
    <row r="19" spans="1:14" x14ac:dyDescent="0.25">
      <c r="A19" s="2">
        <v>43275</v>
      </c>
      <c r="B19" s="8">
        <v>17053021</v>
      </c>
      <c r="C19" s="1" t="s">
        <v>5</v>
      </c>
      <c r="D19" s="1"/>
      <c r="E19" s="3">
        <v>0</v>
      </c>
      <c r="F19" s="3">
        <v>0</v>
      </c>
      <c r="G19" s="3">
        <v>2</v>
      </c>
      <c r="H19" s="3">
        <v>3</v>
      </c>
      <c r="I19" s="3">
        <v>4</v>
      </c>
      <c r="J19" s="3">
        <v>0</v>
      </c>
      <c r="K19" s="3">
        <v>0</v>
      </c>
      <c r="L19" s="3">
        <v>9</v>
      </c>
      <c r="M19" s="3">
        <f>IF(LEFT(tbl_timesheet[[#This Row],[Activity]],1)="5",tbl_timesheet[[#This Row],[Total]],0)</f>
        <v>0</v>
      </c>
      <c r="N19" s="3">
        <f>IF(LEFT(tbl_timesheet[[#This Row],[Activity]],1)="6",tbl_timesheet[[#This Row],[Total]],0)</f>
        <v>9</v>
      </c>
    </row>
    <row r="20" spans="1:14" x14ac:dyDescent="0.25">
      <c r="A20" s="2">
        <v>43275</v>
      </c>
      <c r="B20" s="8">
        <v>17053021</v>
      </c>
      <c r="C20" s="1" t="s">
        <v>24</v>
      </c>
      <c r="D20" s="1"/>
      <c r="E20" s="3">
        <v>0</v>
      </c>
      <c r="F20" s="3">
        <v>0</v>
      </c>
      <c r="G20" s="3">
        <v>0</v>
      </c>
      <c r="H20" s="3">
        <v>0</v>
      </c>
      <c r="I20" s="3">
        <v>2</v>
      </c>
      <c r="J20" s="3">
        <v>0</v>
      </c>
      <c r="K20" s="3">
        <v>0</v>
      </c>
      <c r="L20" s="3">
        <v>2</v>
      </c>
      <c r="M20" s="3">
        <f>IF(LEFT(tbl_timesheet[[#This Row],[Activity]],1)="5",tbl_timesheet[[#This Row],[Total]],0)</f>
        <v>0</v>
      </c>
      <c r="N20" s="3">
        <f>IF(LEFT(tbl_timesheet[[#This Row],[Activity]],1)="6",tbl_timesheet[[#This Row],[Total]],0)</f>
        <v>2</v>
      </c>
    </row>
    <row r="21" spans="1:14" x14ac:dyDescent="0.25">
      <c r="A21" s="2">
        <v>43275</v>
      </c>
      <c r="B21" s="8">
        <v>17053021</v>
      </c>
      <c r="C21" s="1" t="s">
        <v>1</v>
      </c>
      <c r="D21" s="1"/>
      <c r="E21" s="3">
        <v>0</v>
      </c>
      <c r="F21" s="3">
        <v>3</v>
      </c>
      <c r="G21" s="3">
        <v>2</v>
      </c>
      <c r="H21" s="3">
        <v>0</v>
      </c>
      <c r="I21" s="3">
        <v>0</v>
      </c>
      <c r="J21" s="3">
        <v>0</v>
      </c>
      <c r="K21" s="3">
        <v>0</v>
      </c>
      <c r="L21" s="3">
        <v>5</v>
      </c>
      <c r="M21" s="3">
        <f>IF(LEFT(tbl_timesheet[[#This Row],[Activity]],1)="5",tbl_timesheet[[#This Row],[Total]],0)</f>
        <v>0</v>
      </c>
      <c r="N21" s="3">
        <f>IF(LEFT(tbl_timesheet[[#This Row],[Activity]],1)="6",tbl_timesheet[[#This Row],[Total]],0)</f>
        <v>5</v>
      </c>
    </row>
    <row r="22" spans="1:14" x14ac:dyDescent="0.25">
      <c r="A22" s="2">
        <v>43275</v>
      </c>
      <c r="B22" s="8">
        <v>18234008</v>
      </c>
      <c r="C22" s="1" t="s">
        <v>24</v>
      </c>
      <c r="D22" s="1"/>
      <c r="E22" s="3">
        <v>10</v>
      </c>
      <c r="F22" s="3">
        <v>5</v>
      </c>
      <c r="G22" s="3">
        <v>5</v>
      </c>
      <c r="H22" s="3">
        <v>0</v>
      </c>
      <c r="I22" s="3">
        <v>0</v>
      </c>
      <c r="J22" s="3">
        <v>0</v>
      </c>
      <c r="K22" s="3">
        <v>0</v>
      </c>
      <c r="L22" s="3">
        <v>20</v>
      </c>
      <c r="M22" s="3">
        <f>IF(LEFT(tbl_timesheet[[#This Row],[Activity]],1)="5",tbl_timesheet[[#This Row],[Total]],0)</f>
        <v>0</v>
      </c>
      <c r="N22" s="3">
        <f>IF(LEFT(tbl_timesheet[[#This Row],[Activity]],1)="6",tbl_timesheet[[#This Row],[Total]],0)</f>
        <v>20</v>
      </c>
    </row>
    <row r="23" spans="1:14" x14ac:dyDescent="0.25">
      <c r="A23" s="2">
        <v>43275</v>
      </c>
      <c r="B23" s="8">
        <v>18261010</v>
      </c>
      <c r="C23" s="1" t="s">
        <v>5</v>
      </c>
      <c r="D23" s="1"/>
      <c r="E23" s="3">
        <v>0</v>
      </c>
      <c r="F23" s="3">
        <v>1</v>
      </c>
      <c r="G23" s="3">
        <v>0</v>
      </c>
      <c r="H23" s="3">
        <v>3</v>
      </c>
      <c r="I23" s="3">
        <v>0</v>
      </c>
      <c r="J23" s="3">
        <v>0</v>
      </c>
      <c r="K23" s="3">
        <v>0</v>
      </c>
      <c r="L23" s="3">
        <v>4</v>
      </c>
      <c r="M23" s="3">
        <f>IF(LEFT(tbl_timesheet[[#This Row],[Activity]],1)="5",tbl_timesheet[[#This Row],[Total]],0)</f>
        <v>0</v>
      </c>
      <c r="N23" s="3">
        <f>IF(LEFT(tbl_timesheet[[#This Row],[Activity]],1)="6",tbl_timesheet[[#This Row],[Total]],0)</f>
        <v>4</v>
      </c>
    </row>
    <row r="24" spans="1:14" x14ac:dyDescent="0.25">
      <c r="A24" s="2">
        <v>43275</v>
      </c>
      <c r="B24" s="8">
        <v>18261041</v>
      </c>
      <c r="C24" s="1" t="s">
        <v>24</v>
      </c>
      <c r="D24" s="1"/>
      <c r="E24" s="3">
        <v>0</v>
      </c>
      <c r="F24" s="3">
        <v>0</v>
      </c>
      <c r="G24" s="3">
        <v>0</v>
      </c>
      <c r="H24" s="3">
        <v>1</v>
      </c>
      <c r="I24" s="3">
        <v>0</v>
      </c>
      <c r="J24" s="3">
        <v>0</v>
      </c>
      <c r="K24" s="3">
        <v>0</v>
      </c>
      <c r="L24" s="3">
        <v>1</v>
      </c>
      <c r="M24" s="3">
        <f>IF(LEFT(tbl_timesheet[[#This Row],[Activity]],1)="5",tbl_timesheet[[#This Row],[Total]],0)</f>
        <v>0</v>
      </c>
      <c r="N24" s="3">
        <f>IF(LEFT(tbl_timesheet[[#This Row],[Activity]],1)="6",tbl_timesheet[[#This Row],[Total]],0)</f>
        <v>1</v>
      </c>
    </row>
    <row r="25" spans="1:14" x14ac:dyDescent="0.25">
      <c r="A25" s="2">
        <v>43275</v>
      </c>
      <c r="B25" s="8">
        <v>18261041</v>
      </c>
      <c r="C25" s="1" t="s">
        <v>5</v>
      </c>
      <c r="D25" s="1"/>
      <c r="E25" s="3">
        <v>0</v>
      </c>
      <c r="F25" s="3">
        <v>0</v>
      </c>
      <c r="G25" s="3">
        <v>0</v>
      </c>
      <c r="H25" s="3">
        <v>3</v>
      </c>
      <c r="I25" s="3">
        <v>0</v>
      </c>
      <c r="J25" s="3">
        <v>0</v>
      </c>
      <c r="K25" s="3">
        <v>0</v>
      </c>
      <c r="L25" s="3">
        <v>3</v>
      </c>
      <c r="M25" s="3">
        <f>IF(LEFT(tbl_timesheet[[#This Row],[Activity]],1)="5",tbl_timesheet[[#This Row],[Total]],0)</f>
        <v>0</v>
      </c>
      <c r="N25" s="3">
        <f>IF(LEFT(tbl_timesheet[[#This Row],[Activity]],1)="6",tbl_timesheet[[#This Row],[Total]],0)</f>
        <v>3</v>
      </c>
    </row>
    <row r="26" spans="1:14" x14ac:dyDescent="0.25">
      <c r="A26" s="2">
        <v>43268</v>
      </c>
      <c r="B26" s="8">
        <v>17053021</v>
      </c>
      <c r="C26" s="1" t="s">
        <v>1</v>
      </c>
      <c r="D26" s="1"/>
      <c r="E26" s="3">
        <v>8</v>
      </c>
      <c r="F26" s="3">
        <v>4</v>
      </c>
      <c r="G26" s="3">
        <v>2</v>
      </c>
      <c r="H26" s="3">
        <v>2</v>
      </c>
      <c r="I26" s="3">
        <v>0</v>
      </c>
      <c r="J26" s="3">
        <v>0</v>
      </c>
      <c r="K26" s="3">
        <v>0</v>
      </c>
      <c r="L26" s="3">
        <v>16</v>
      </c>
      <c r="M26" s="3">
        <f>IF(LEFT(tbl_timesheet[[#This Row],[Activity]],1)="5",tbl_timesheet[[#This Row],[Total]],0)</f>
        <v>0</v>
      </c>
      <c r="N26" s="3">
        <f>IF(LEFT(tbl_timesheet[[#This Row],[Activity]],1)="6",tbl_timesheet[[#This Row],[Total]],0)</f>
        <v>16</v>
      </c>
    </row>
    <row r="27" spans="1:14" x14ac:dyDescent="0.25">
      <c r="A27" s="2">
        <v>43268</v>
      </c>
      <c r="B27" s="8">
        <v>17234021</v>
      </c>
      <c r="C27" s="1" t="s">
        <v>16</v>
      </c>
      <c r="D27" s="1"/>
      <c r="E27" s="3">
        <v>1</v>
      </c>
      <c r="F27" s="3">
        <v>2</v>
      </c>
      <c r="G27" s="3">
        <v>0</v>
      </c>
      <c r="H27" s="3">
        <v>0</v>
      </c>
      <c r="I27" s="3">
        <v>1</v>
      </c>
      <c r="J27" s="3">
        <v>0</v>
      </c>
      <c r="K27" s="3">
        <v>0</v>
      </c>
      <c r="L27" s="3">
        <v>4</v>
      </c>
      <c r="M27" s="3">
        <f>IF(LEFT(tbl_timesheet[[#This Row],[Activity]],1)="5",tbl_timesheet[[#This Row],[Total]],0)</f>
        <v>0</v>
      </c>
      <c r="N27" s="3">
        <f>IF(LEFT(tbl_timesheet[[#This Row],[Activity]],1)="6",tbl_timesheet[[#This Row],[Total]],0)</f>
        <v>4</v>
      </c>
    </row>
    <row r="28" spans="1:14" x14ac:dyDescent="0.25">
      <c r="A28" s="2">
        <v>43268</v>
      </c>
      <c r="B28" s="8">
        <v>18234001</v>
      </c>
      <c r="C28" s="1" t="s">
        <v>28</v>
      </c>
      <c r="D28" s="1"/>
      <c r="E28" s="3">
        <v>0</v>
      </c>
      <c r="F28" s="3">
        <v>0</v>
      </c>
      <c r="G28" s="3">
        <v>3</v>
      </c>
      <c r="H28" s="3">
        <v>3</v>
      </c>
      <c r="I28" s="3">
        <v>3</v>
      </c>
      <c r="J28" s="3">
        <v>0</v>
      </c>
      <c r="K28" s="3">
        <v>0</v>
      </c>
      <c r="L28" s="3">
        <v>9</v>
      </c>
      <c r="M28" s="3">
        <f>IF(LEFT(tbl_timesheet[[#This Row],[Activity]],1)="5",tbl_timesheet[[#This Row],[Total]],0)</f>
        <v>0</v>
      </c>
      <c r="N28" s="3">
        <f>IF(LEFT(tbl_timesheet[[#This Row],[Activity]],1)="6",tbl_timesheet[[#This Row],[Total]],0)</f>
        <v>9</v>
      </c>
    </row>
    <row r="29" spans="1:14" x14ac:dyDescent="0.25">
      <c r="A29" s="2">
        <v>43268</v>
      </c>
      <c r="B29" s="8">
        <v>18234008</v>
      </c>
      <c r="C29" s="1" t="s">
        <v>5</v>
      </c>
      <c r="D29" s="1"/>
      <c r="E29" s="3">
        <v>0</v>
      </c>
      <c r="F29" s="3">
        <v>3</v>
      </c>
      <c r="G29" s="3">
        <v>0</v>
      </c>
      <c r="H29" s="3">
        <v>0</v>
      </c>
      <c r="I29" s="3">
        <v>0</v>
      </c>
      <c r="J29" s="3">
        <v>0</v>
      </c>
      <c r="K29" s="3">
        <v>0</v>
      </c>
      <c r="L29" s="3">
        <v>3</v>
      </c>
      <c r="M29" s="3">
        <f>IF(LEFT(tbl_timesheet[[#This Row],[Activity]],1)="5",tbl_timesheet[[#This Row],[Total]],0)</f>
        <v>0</v>
      </c>
      <c r="N29" s="3">
        <f>IF(LEFT(tbl_timesheet[[#This Row],[Activity]],1)="6",tbl_timesheet[[#This Row],[Total]],0)</f>
        <v>3</v>
      </c>
    </row>
    <row r="30" spans="1:14" x14ac:dyDescent="0.25">
      <c r="A30" s="2">
        <v>43268</v>
      </c>
      <c r="B30" s="8">
        <v>18261048</v>
      </c>
      <c r="C30" s="1" t="s">
        <v>16</v>
      </c>
      <c r="D30" s="1"/>
      <c r="E30" s="3">
        <v>0</v>
      </c>
      <c r="F30" s="3">
        <v>0</v>
      </c>
      <c r="G30" s="3">
        <v>4</v>
      </c>
      <c r="H30" s="3">
        <v>0</v>
      </c>
      <c r="I30" s="3">
        <v>0</v>
      </c>
      <c r="J30" s="3">
        <v>0</v>
      </c>
      <c r="K30" s="3">
        <v>0</v>
      </c>
      <c r="L30" s="3">
        <v>4</v>
      </c>
      <c r="M30" s="3">
        <f>IF(LEFT(tbl_timesheet[[#This Row],[Activity]],1)="5",tbl_timesheet[[#This Row],[Total]],0)</f>
        <v>0</v>
      </c>
      <c r="N30" s="3">
        <f>IF(LEFT(tbl_timesheet[[#This Row],[Activity]],1)="6",tbl_timesheet[[#This Row],[Total]],0)</f>
        <v>4</v>
      </c>
    </row>
    <row r="31" spans="1:14" x14ac:dyDescent="0.25">
      <c r="A31" s="2">
        <v>43268</v>
      </c>
      <c r="B31" s="8">
        <v>18261059</v>
      </c>
      <c r="C31" s="1" t="s">
        <v>16</v>
      </c>
      <c r="D31" s="1"/>
      <c r="E31" s="3">
        <v>0</v>
      </c>
      <c r="F31" s="3">
        <v>0</v>
      </c>
      <c r="G31" s="3">
        <v>0</v>
      </c>
      <c r="H31" s="3">
        <v>4</v>
      </c>
      <c r="I31" s="3">
        <v>0</v>
      </c>
      <c r="J31" s="3">
        <v>0</v>
      </c>
      <c r="K31" s="3">
        <v>0</v>
      </c>
      <c r="L31" s="3">
        <v>4</v>
      </c>
      <c r="M31" s="3">
        <f>IF(LEFT(tbl_timesheet[[#This Row],[Activity]],1)="5",tbl_timesheet[[#This Row],[Total]],0)</f>
        <v>0</v>
      </c>
      <c r="N31" s="3">
        <f>IF(LEFT(tbl_timesheet[[#This Row],[Activity]],1)="6",tbl_timesheet[[#This Row],[Total]],0)</f>
        <v>4</v>
      </c>
    </row>
    <row r="32" spans="1:14" x14ac:dyDescent="0.25">
      <c r="A32" s="2">
        <v>43261</v>
      </c>
      <c r="B32" s="8">
        <v>17053021</v>
      </c>
      <c r="C32" s="1" t="s">
        <v>18</v>
      </c>
      <c r="D32" s="1"/>
      <c r="E32" s="3">
        <v>2</v>
      </c>
      <c r="F32" s="3">
        <v>2</v>
      </c>
      <c r="G32" s="3">
        <v>2</v>
      </c>
      <c r="H32" s="3">
        <v>0</v>
      </c>
      <c r="I32" s="3">
        <v>0</v>
      </c>
      <c r="J32" s="3">
        <v>0</v>
      </c>
      <c r="K32" s="3">
        <v>0</v>
      </c>
      <c r="L32" s="3">
        <v>6</v>
      </c>
      <c r="M32" s="3">
        <f>IF(LEFT(tbl_timesheet[[#This Row],[Activity]],1)="5",tbl_timesheet[[#This Row],[Total]],0)</f>
        <v>0</v>
      </c>
      <c r="N32" s="3">
        <f>IF(LEFT(tbl_timesheet[[#This Row],[Activity]],1)="6",tbl_timesheet[[#This Row],[Total]],0)</f>
        <v>6</v>
      </c>
    </row>
    <row r="33" spans="1:14" x14ac:dyDescent="0.25">
      <c r="A33" s="2">
        <v>43261</v>
      </c>
      <c r="B33" s="8">
        <v>17053021</v>
      </c>
      <c r="C33" s="1" t="s">
        <v>5</v>
      </c>
      <c r="D33" s="1"/>
      <c r="E33" s="3">
        <v>2</v>
      </c>
      <c r="F33" s="3">
        <v>4</v>
      </c>
      <c r="G33" s="3">
        <v>2</v>
      </c>
      <c r="H33" s="3">
        <v>0</v>
      </c>
      <c r="I33" s="3">
        <v>0</v>
      </c>
      <c r="J33" s="3">
        <v>0</v>
      </c>
      <c r="K33" s="3">
        <v>0</v>
      </c>
      <c r="L33" s="3">
        <v>8</v>
      </c>
      <c r="M33" s="3">
        <f>IF(LEFT(tbl_timesheet[[#This Row],[Activity]],1)="5",tbl_timesheet[[#This Row],[Total]],0)</f>
        <v>0</v>
      </c>
      <c r="N33" s="3">
        <f>IF(LEFT(tbl_timesheet[[#This Row],[Activity]],1)="6",tbl_timesheet[[#This Row],[Total]],0)</f>
        <v>8</v>
      </c>
    </row>
    <row r="34" spans="1:14" x14ac:dyDescent="0.25">
      <c r="A34" s="2">
        <v>43261</v>
      </c>
      <c r="B34" s="8">
        <v>17053021</v>
      </c>
      <c r="C34" s="1" t="s">
        <v>1</v>
      </c>
      <c r="D34" s="1"/>
      <c r="E34" s="3">
        <v>0</v>
      </c>
      <c r="F34" s="3">
        <v>0</v>
      </c>
      <c r="G34" s="3">
        <v>3</v>
      </c>
      <c r="H34" s="3">
        <v>0</v>
      </c>
      <c r="I34" s="3">
        <v>2</v>
      </c>
      <c r="J34" s="3">
        <v>0</v>
      </c>
      <c r="K34" s="3">
        <v>0</v>
      </c>
      <c r="L34" s="3">
        <v>5</v>
      </c>
      <c r="M34" s="3">
        <f>IF(LEFT(tbl_timesheet[[#This Row],[Activity]],1)="5",tbl_timesheet[[#This Row],[Total]],0)</f>
        <v>0</v>
      </c>
      <c r="N34" s="3">
        <f>IF(LEFT(tbl_timesheet[[#This Row],[Activity]],1)="6",tbl_timesheet[[#This Row],[Total]],0)</f>
        <v>5</v>
      </c>
    </row>
    <row r="35" spans="1:14" x14ac:dyDescent="0.25">
      <c r="A35" s="2">
        <v>43261</v>
      </c>
      <c r="B35" s="8">
        <v>17053021</v>
      </c>
      <c r="C35" s="1" t="s">
        <v>16</v>
      </c>
      <c r="D35" s="1"/>
      <c r="E35" s="3">
        <v>0</v>
      </c>
      <c r="F35" s="3">
        <v>0</v>
      </c>
      <c r="G35" s="3">
        <v>2</v>
      </c>
      <c r="H35" s="3">
        <v>0</v>
      </c>
      <c r="I35" s="3">
        <v>0</v>
      </c>
      <c r="J35" s="3">
        <v>0</v>
      </c>
      <c r="K35" s="3">
        <v>0</v>
      </c>
      <c r="L35" s="3">
        <v>2</v>
      </c>
      <c r="M35" s="3">
        <f>IF(LEFT(tbl_timesheet[[#This Row],[Activity]],1)="5",tbl_timesheet[[#This Row],[Total]],0)</f>
        <v>0</v>
      </c>
      <c r="N35" s="3">
        <f>IF(LEFT(tbl_timesheet[[#This Row],[Activity]],1)="6",tbl_timesheet[[#This Row],[Total]],0)</f>
        <v>2</v>
      </c>
    </row>
    <row r="36" spans="1:14" x14ac:dyDescent="0.25">
      <c r="A36" s="2">
        <v>43261</v>
      </c>
      <c r="B36" s="8">
        <v>17053021</v>
      </c>
      <c r="C36" s="1" t="s">
        <v>30</v>
      </c>
      <c r="D36" s="1"/>
      <c r="E36" s="3">
        <v>0</v>
      </c>
      <c r="F36" s="3">
        <v>0</v>
      </c>
      <c r="G36" s="3">
        <v>0</v>
      </c>
      <c r="H36" s="3">
        <v>0</v>
      </c>
      <c r="I36" s="3">
        <v>1</v>
      </c>
      <c r="J36" s="3">
        <v>0</v>
      </c>
      <c r="K36" s="3">
        <v>0</v>
      </c>
      <c r="L36" s="3">
        <v>1</v>
      </c>
      <c r="M36" s="3">
        <f>IF(LEFT(tbl_timesheet[[#This Row],[Activity]],1)="5",tbl_timesheet[[#This Row],[Total]],0)</f>
        <v>0</v>
      </c>
      <c r="N36" s="3">
        <f>IF(LEFT(tbl_timesheet[[#This Row],[Activity]],1)="6",tbl_timesheet[[#This Row],[Total]],0)</f>
        <v>1</v>
      </c>
    </row>
    <row r="37" spans="1:14" x14ac:dyDescent="0.25">
      <c r="A37" s="2">
        <v>43261</v>
      </c>
      <c r="B37" s="8">
        <v>18234001</v>
      </c>
      <c r="C37" s="1" t="s">
        <v>24</v>
      </c>
      <c r="D37" s="1"/>
      <c r="E37" s="3">
        <v>2</v>
      </c>
      <c r="F37" s="3">
        <v>0</v>
      </c>
      <c r="G37" s="3">
        <v>0</v>
      </c>
      <c r="H37" s="3">
        <v>3</v>
      </c>
      <c r="I37" s="3">
        <v>0</v>
      </c>
      <c r="J37" s="3">
        <v>0</v>
      </c>
      <c r="K37" s="3">
        <v>0</v>
      </c>
      <c r="L37" s="3">
        <v>5</v>
      </c>
      <c r="M37" s="3">
        <f>IF(LEFT(tbl_timesheet[[#This Row],[Activity]],1)="5",tbl_timesheet[[#This Row],[Total]],0)</f>
        <v>0</v>
      </c>
      <c r="N37" s="3">
        <f>IF(LEFT(tbl_timesheet[[#This Row],[Activity]],1)="6",tbl_timesheet[[#This Row],[Total]],0)</f>
        <v>5</v>
      </c>
    </row>
    <row r="38" spans="1:14" x14ac:dyDescent="0.25">
      <c r="A38" s="2">
        <v>43261</v>
      </c>
      <c r="B38" s="8">
        <v>18234008</v>
      </c>
      <c r="C38" s="1" t="s">
        <v>24</v>
      </c>
      <c r="D38" s="1"/>
      <c r="E38" s="3">
        <v>0</v>
      </c>
      <c r="F38" s="3">
        <v>0</v>
      </c>
      <c r="G38" s="3">
        <v>1</v>
      </c>
      <c r="H38" s="3">
        <v>1</v>
      </c>
      <c r="I38" s="3">
        <v>0</v>
      </c>
      <c r="J38" s="3">
        <v>0</v>
      </c>
      <c r="K38" s="3">
        <v>0</v>
      </c>
      <c r="L38" s="3">
        <v>2</v>
      </c>
      <c r="M38" s="3">
        <f>IF(LEFT(tbl_timesheet[[#This Row],[Activity]],1)="5",tbl_timesheet[[#This Row],[Total]],0)</f>
        <v>0</v>
      </c>
      <c r="N38" s="3">
        <f>IF(LEFT(tbl_timesheet[[#This Row],[Activity]],1)="6",tbl_timesheet[[#This Row],[Total]],0)</f>
        <v>2</v>
      </c>
    </row>
    <row r="39" spans="1:14" x14ac:dyDescent="0.25">
      <c r="A39" s="2">
        <v>43261</v>
      </c>
      <c r="B39" s="8">
        <v>18261048</v>
      </c>
      <c r="C39" s="1" t="s">
        <v>28</v>
      </c>
      <c r="D39" s="1"/>
      <c r="E39" s="3">
        <v>2</v>
      </c>
      <c r="F39" s="3">
        <v>1</v>
      </c>
      <c r="G39" s="3">
        <v>0</v>
      </c>
      <c r="H39" s="3">
        <v>2</v>
      </c>
      <c r="I39" s="3">
        <v>0</v>
      </c>
      <c r="J39" s="3">
        <v>0</v>
      </c>
      <c r="K39" s="3">
        <v>0</v>
      </c>
      <c r="L39" s="3">
        <v>5</v>
      </c>
      <c r="M39" s="3">
        <f>IF(LEFT(tbl_timesheet[[#This Row],[Activity]],1)="5",tbl_timesheet[[#This Row],[Total]],0)</f>
        <v>0</v>
      </c>
      <c r="N39" s="3">
        <f>IF(LEFT(tbl_timesheet[[#This Row],[Activity]],1)="6",tbl_timesheet[[#This Row],[Total]],0)</f>
        <v>5</v>
      </c>
    </row>
    <row r="40" spans="1:14" x14ac:dyDescent="0.25">
      <c r="A40" s="2">
        <v>43261</v>
      </c>
      <c r="B40" s="8">
        <v>18261059</v>
      </c>
      <c r="C40" s="1" t="s">
        <v>5</v>
      </c>
      <c r="D40" s="1"/>
      <c r="E40" s="3">
        <v>0</v>
      </c>
      <c r="F40" s="3">
        <v>1</v>
      </c>
      <c r="G40" s="3">
        <v>0</v>
      </c>
      <c r="H40" s="3">
        <v>1</v>
      </c>
      <c r="I40" s="3">
        <v>1</v>
      </c>
      <c r="J40" s="3">
        <v>0</v>
      </c>
      <c r="K40" s="3">
        <v>0</v>
      </c>
      <c r="L40" s="3">
        <v>3</v>
      </c>
      <c r="M40" s="3">
        <f>IF(LEFT(tbl_timesheet[[#This Row],[Activity]],1)="5",tbl_timesheet[[#This Row],[Total]],0)</f>
        <v>0</v>
      </c>
      <c r="N40" s="3">
        <f>IF(LEFT(tbl_timesheet[[#This Row],[Activity]],1)="6",tbl_timesheet[[#This Row],[Total]],0)</f>
        <v>3</v>
      </c>
    </row>
    <row r="41" spans="1:14" x14ac:dyDescent="0.25">
      <c r="A41" s="2">
        <v>43261</v>
      </c>
      <c r="B41" s="8">
        <v>18261059</v>
      </c>
      <c r="C41" s="1" t="s">
        <v>6</v>
      </c>
      <c r="D41" s="1"/>
      <c r="E41" s="3">
        <v>0</v>
      </c>
      <c r="F41" s="3">
        <v>0</v>
      </c>
      <c r="G41" s="3">
        <v>0</v>
      </c>
      <c r="H41" s="3">
        <v>2</v>
      </c>
      <c r="I41" s="3">
        <v>1</v>
      </c>
      <c r="J41" s="3">
        <v>0</v>
      </c>
      <c r="K41" s="3">
        <v>0</v>
      </c>
      <c r="L41" s="3">
        <v>3</v>
      </c>
      <c r="M41" s="3">
        <f>IF(LEFT(tbl_timesheet[[#This Row],[Activity]],1)="5",tbl_timesheet[[#This Row],[Total]],0)</f>
        <v>0</v>
      </c>
      <c r="N41" s="3">
        <f>IF(LEFT(tbl_timesheet[[#This Row],[Activity]],1)="6",tbl_timesheet[[#This Row],[Total]],0)</f>
        <v>3</v>
      </c>
    </row>
    <row r="42" spans="1:14" x14ac:dyDescent="0.25">
      <c r="A42" s="2">
        <v>43254</v>
      </c>
      <c r="B42" s="8">
        <v>18000000</v>
      </c>
      <c r="C42" s="1" t="s">
        <v>3</v>
      </c>
      <c r="D42" s="1"/>
      <c r="E42" s="3">
        <v>8</v>
      </c>
      <c r="F42" s="3">
        <v>0</v>
      </c>
      <c r="G42" s="3">
        <v>0</v>
      </c>
      <c r="H42" s="3">
        <v>0</v>
      </c>
      <c r="I42" s="3">
        <v>0</v>
      </c>
      <c r="J42" s="3">
        <v>0</v>
      </c>
      <c r="K42" s="3">
        <v>0</v>
      </c>
      <c r="L42" s="3">
        <v>8</v>
      </c>
      <c r="M42" s="3">
        <f>IF(LEFT(tbl_timesheet[[#This Row],[Activity]],1)="5",tbl_timesheet[[#This Row],[Total]],0)</f>
        <v>0</v>
      </c>
      <c r="N42" s="3">
        <f>IF(LEFT(tbl_timesheet[[#This Row],[Activity]],1)="6",tbl_timesheet[[#This Row],[Total]],0)</f>
        <v>8</v>
      </c>
    </row>
    <row r="43" spans="1:14" x14ac:dyDescent="0.25">
      <c r="A43" s="2">
        <v>43254</v>
      </c>
      <c r="B43" s="8">
        <v>18000000</v>
      </c>
      <c r="C43" s="1" t="s">
        <v>31</v>
      </c>
      <c r="D43" s="1"/>
      <c r="E43" s="3">
        <v>0</v>
      </c>
      <c r="F43" s="3">
        <v>0</v>
      </c>
      <c r="G43" s="3">
        <v>0</v>
      </c>
      <c r="H43" s="3">
        <v>0</v>
      </c>
      <c r="I43" s="3">
        <v>8</v>
      </c>
      <c r="J43" s="3">
        <v>0</v>
      </c>
      <c r="K43" s="3">
        <v>0</v>
      </c>
      <c r="L43" s="3">
        <v>8</v>
      </c>
      <c r="M43" s="3">
        <f>IF(LEFT(tbl_timesheet[[#This Row],[Activity]],1)="5",tbl_timesheet[[#This Row],[Total]],0)</f>
        <v>0</v>
      </c>
      <c r="N43" s="3">
        <f>IF(LEFT(tbl_timesheet[[#This Row],[Activity]],1)="6",tbl_timesheet[[#This Row],[Total]],0)</f>
        <v>8</v>
      </c>
    </row>
    <row r="44" spans="1:14" x14ac:dyDescent="0.25">
      <c r="A44" s="2">
        <v>43254</v>
      </c>
      <c r="B44" s="8">
        <v>18000000</v>
      </c>
      <c r="C44" s="1" t="s">
        <v>32</v>
      </c>
      <c r="D44" s="1"/>
      <c r="E44" s="3">
        <v>0</v>
      </c>
      <c r="F44" s="3">
        <v>8</v>
      </c>
      <c r="G44" s="3">
        <v>8</v>
      </c>
      <c r="H44" s="3">
        <v>8</v>
      </c>
      <c r="I44" s="3">
        <v>0</v>
      </c>
      <c r="J44" s="3">
        <v>0</v>
      </c>
      <c r="K44" s="3">
        <v>0</v>
      </c>
      <c r="L44" s="3">
        <v>24</v>
      </c>
      <c r="M44" s="3">
        <f>IF(LEFT(tbl_timesheet[[#This Row],[Activity]],1)="5",tbl_timesheet[[#This Row],[Total]],0)</f>
        <v>0</v>
      </c>
      <c r="N44" s="3">
        <f>IF(LEFT(tbl_timesheet[[#This Row],[Activity]],1)="6",tbl_timesheet[[#This Row],[Total]],0)</f>
        <v>24</v>
      </c>
    </row>
    <row r="45" spans="1:14" x14ac:dyDescent="0.25">
      <c r="A45" s="2">
        <v>43247</v>
      </c>
      <c r="B45" s="8">
        <v>17053021</v>
      </c>
      <c r="C45" s="1" t="s">
        <v>5</v>
      </c>
      <c r="D45" s="1"/>
      <c r="E45" s="3">
        <v>0</v>
      </c>
      <c r="F45" s="3">
        <v>0</v>
      </c>
      <c r="G45" s="3">
        <v>0</v>
      </c>
      <c r="H45" s="3">
        <v>2</v>
      </c>
      <c r="I45" s="3">
        <v>0</v>
      </c>
      <c r="J45" s="3">
        <v>0</v>
      </c>
      <c r="K45" s="3">
        <v>0</v>
      </c>
      <c r="L45" s="3">
        <v>2</v>
      </c>
      <c r="M45" s="3">
        <f>IF(LEFT(tbl_timesheet[[#This Row],[Activity]],1)="5",tbl_timesheet[[#This Row],[Total]],0)</f>
        <v>0</v>
      </c>
      <c r="N45" s="3">
        <f>IF(LEFT(tbl_timesheet[[#This Row],[Activity]],1)="6",tbl_timesheet[[#This Row],[Total]],0)</f>
        <v>2</v>
      </c>
    </row>
    <row r="46" spans="1:14" x14ac:dyDescent="0.25">
      <c r="A46" s="2">
        <v>43247</v>
      </c>
      <c r="B46" s="8">
        <v>17234021</v>
      </c>
      <c r="C46" s="1" t="s">
        <v>33</v>
      </c>
      <c r="D46" s="1"/>
      <c r="E46" s="3">
        <v>0</v>
      </c>
      <c r="F46" s="3">
        <v>1</v>
      </c>
      <c r="G46" s="3">
        <v>0</v>
      </c>
      <c r="H46" s="3">
        <v>4</v>
      </c>
      <c r="I46" s="3">
        <v>0</v>
      </c>
      <c r="J46" s="3">
        <v>0</v>
      </c>
      <c r="K46" s="3">
        <v>0</v>
      </c>
      <c r="L46" s="3">
        <v>5</v>
      </c>
      <c r="M46" s="3">
        <f>IF(LEFT(tbl_timesheet[[#This Row],[Activity]],1)="5",tbl_timesheet[[#This Row],[Total]],0)</f>
        <v>0</v>
      </c>
      <c r="N46" s="3">
        <f>IF(LEFT(tbl_timesheet[[#This Row],[Activity]],1)="6",tbl_timesheet[[#This Row],[Total]],0)</f>
        <v>5</v>
      </c>
    </row>
    <row r="47" spans="1:14" x14ac:dyDescent="0.25">
      <c r="A47" s="2">
        <v>43247</v>
      </c>
      <c r="B47" s="8">
        <v>17234021</v>
      </c>
      <c r="C47" s="1" t="s">
        <v>34</v>
      </c>
      <c r="D47" s="1"/>
      <c r="E47" s="3">
        <v>3</v>
      </c>
      <c r="F47" s="3">
        <v>0</v>
      </c>
      <c r="G47" s="3">
        <v>0</v>
      </c>
      <c r="H47" s="3">
        <v>0</v>
      </c>
      <c r="I47" s="3">
        <v>0</v>
      </c>
      <c r="J47" s="3">
        <v>0</v>
      </c>
      <c r="K47" s="3">
        <v>0</v>
      </c>
      <c r="L47" s="3">
        <v>3</v>
      </c>
      <c r="M47" s="3">
        <f>IF(LEFT(tbl_timesheet[[#This Row],[Activity]],1)="5",tbl_timesheet[[#This Row],[Total]],0)</f>
        <v>0</v>
      </c>
      <c r="N47" s="3">
        <f>IF(LEFT(tbl_timesheet[[#This Row],[Activity]],1)="6",tbl_timesheet[[#This Row],[Total]],0)</f>
        <v>3</v>
      </c>
    </row>
    <row r="48" spans="1:14" x14ac:dyDescent="0.25">
      <c r="A48" s="2">
        <v>43247</v>
      </c>
      <c r="B48" s="8">
        <v>17234021</v>
      </c>
      <c r="C48" s="1" t="s">
        <v>35</v>
      </c>
      <c r="D48" s="1"/>
      <c r="E48" s="3">
        <v>0</v>
      </c>
      <c r="F48" s="3">
        <v>3</v>
      </c>
      <c r="G48" s="3">
        <v>0</v>
      </c>
      <c r="H48" s="3">
        <v>0</v>
      </c>
      <c r="I48" s="3">
        <v>0</v>
      </c>
      <c r="J48" s="3">
        <v>0</v>
      </c>
      <c r="K48" s="3">
        <v>0</v>
      </c>
      <c r="L48" s="3">
        <v>3</v>
      </c>
      <c r="M48" s="3">
        <f>IF(LEFT(tbl_timesheet[[#This Row],[Activity]],1)="5",tbl_timesheet[[#This Row],[Total]],0)</f>
        <v>3</v>
      </c>
      <c r="N48" s="3">
        <f>IF(LEFT(tbl_timesheet[[#This Row],[Activity]],1)="6",tbl_timesheet[[#This Row],[Total]],0)</f>
        <v>0</v>
      </c>
    </row>
    <row r="49" spans="1:14" x14ac:dyDescent="0.25">
      <c r="A49" s="2">
        <v>43247</v>
      </c>
      <c r="B49" s="8">
        <v>17234021</v>
      </c>
      <c r="C49" s="1" t="s">
        <v>16</v>
      </c>
      <c r="D49" s="1"/>
      <c r="E49" s="3">
        <v>0</v>
      </c>
      <c r="F49" s="3">
        <v>0</v>
      </c>
      <c r="G49" s="3">
        <v>4</v>
      </c>
      <c r="H49" s="3">
        <v>0</v>
      </c>
      <c r="I49" s="3">
        <v>0</v>
      </c>
      <c r="J49" s="3">
        <v>0</v>
      </c>
      <c r="K49" s="3">
        <v>0</v>
      </c>
      <c r="L49" s="3">
        <v>4</v>
      </c>
      <c r="M49" s="3">
        <f>IF(LEFT(tbl_timesheet[[#This Row],[Activity]],1)="5",tbl_timesheet[[#This Row],[Total]],0)</f>
        <v>0</v>
      </c>
      <c r="N49" s="3">
        <f>IF(LEFT(tbl_timesheet[[#This Row],[Activity]],1)="6",tbl_timesheet[[#This Row],[Total]],0)</f>
        <v>4</v>
      </c>
    </row>
    <row r="50" spans="1:14" x14ac:dyDescent="0.25">
      <c r="A50" s="2">
        <v>43247</v>
      </c>
      <c r="B50" s="8">
        <v>17261121</v>
      </c>
      <c r="C50" s="1" t="s">
        <v>37</v>
      </c>
      <c r="D50" s="1"/>
      <c r="E50" s="3">
        <v>0</v>
      </c>
      <c r="F50" s="3">
        <v>0</v>
      </c>
      <c r="G50" s="3">
        <v>4</v>
      </c>
      <c r="H50" s="3">
        <v>0</v>
      </c>
      <c r="I50" s="3">
        <v>0</v>
      </c>
      <c r="J50" s="3">
        <v>0</v>
      </c>
      <c r="K50" s="3">
        <v>0</v>
      </c>
      <c r="L50" s="3">
        <v>4</v>
      </c>
      <c r="M50" s="3">
        <f>IF(LEFT(tbl_timesheet[[#This Row],[Activity]],1)="5",tbl_timesheet[[#This Row],[Total]],0)</f>
        <v>0</v>
      </c>
      <c r="N50" s="3">
        <f>IF(LEFT(tbl_timesheet[[#This Row],[Activity]],1)="6",tbl_timesheet[[#This Row],[Total]],0)</f>
        <v>4</v>
      </c>
    </row>
    <row r="51" spans="1:14" x14ac:dyDescent="0.25">
      <c r="A51" s="2">
        <v>43247</v>
      </c>
      <c r="B51" s="8">
        <v>17261121</v>
      </c>
      <c r="C51" s="1" t="s">
        <v>5</v>
      </c>
      <c r="D51" s="1"/>
      <c r="E51" s="3">
        <v>3</v>
      </c>
      <c r="F51" s="3">
        <v>3</v>
      </c>
      <c r="G51" s="3">
        <v>1</v>
      </c>
      <c r="H51" s="3">
        <v>3</v>
      </c>
      <c r="I51" s="3">
        <v>0</v>
      </c>
      <c r="J51" s="3">
        <v>0</v>
      </c>
      <c r="K51" s="3">
        <v>0</v>
      </c>
      <c r="L51" s="3">
        <v>10</v>
      </c>
      <c r="M51" s="3">
        <f>IF(LEFT(tbl_timesheet[[#This Row],[Activity]],1)="5",tbl_timesheet[[#This Row],[Total]],0)</f>
        <v>0</v>
      </c>
      <c r="N51" s="3">
        <f>IF(LEFT(tbl_timesheet[[#This Row],[Activity]],1)="6",tbl_timesheet[[#This Row],[Total]],0)</f>
        <v>10</v>
      </c>
    </row>
    <row r="52" spans="1:14" x14ac:dyDescent="0.25">
      <c r="A52" s="2">
        <v>43247</v>
      </c>
      <c r="B52" s="8">
        <v>17261121</v>
      </c>
      <c r="C52" s="1" t="s">
        <v>34</v>
      </c>
      <c r="D52" s="1"/>
      <c r="E52" s="3">
        <v>3</v>
      </c>
      <c r="F52" s="3">
        <v>2</v>
      </c>
      <c r="G52" s="3">
        <v>0</v>
      </c>
      <c r="H52" s="3">
        <v>0</v>
      </c>
      <c r="I52" s="3">
        <v>0</v>
      </c>
      <c r="J52" s="3">
        <v>0</v>
      </c>
      <c r="K52" s="3">
        <v>0</v>
      </c>
      <c r="L52" s="3">
        <v>5</v>
      </c>
      <c r="M52" s="3">
        <f>IF(LEFT(tbl_timesheet[[#This Row],[Activity]],1)="5",tbl_timesheet[[#This Row],[Total]],0)</f>
        <v>0</v>
      </c>
      <c r="N52" s="3">
        <f>IF(LEFT(tbl_timesheet[[#This Row],[Activity]],1)="6",tbl_timesheet[[#This Row],[Total]],0)</f>
        <v>5</v>
      </c>
    </row>
    <row r="53" spans="1:14" x14ac:dyDescent="0.25">
      <c r="A53" s="2">
        <v>43247</v>
      </c>
      <c r="B53" s="8">
        <v>18000000</v>
      </c>
      <c r="C53" s="1" t="s">
        <v>38</v>
      </c>
      <c r="D53" s="1"/>
      <c r="E53" s="3">
        <v>0</v>
      </c>
      <c r="F53" s="3">
        <v>0</v>
      </c>
      <c r="G53" s="3">
        <v>0</v>
      </c>
      <c r="H53" s="3">
        <v>0</v>
      </c>
      <c r="I53" s="3">
        <v>4</v>
      </c>
      <c r="J53" s="3">
        <v>0</v>
      </c>
      <c r="K53" s="3">
        <v>0</v>
      </c>
      <c r="L53" s="3">
        <v>4</v>
      </c>
      <c r="M53" s="3">
        <f>IF(LEFT(tbl_timesheet[[#This Row],[Activity]],1)="5",tbl_timesheet[[#This Row],[Total]],0)</f>
        <v>0</v>
      </c>
      <c r="N53" s="3">
        <f>IF(LEFT(tbl_timesheet[[#This Row],[Activity]],1)="6",tbl_timesheet[[#This Row],[Total]],0)</f>
        <v>0</v>
      </c>
    </row>
    <row r="54" spans="1:14" x14ac:dyDescent="0.25">
      <c r="A54" s="2">
        <v>43240</v>
      </c>
      <c r="B54" s="8">
        <v>17053021</v>
      </c>
      <c r="C54" s="1" t="s">
        <v>5</v>
      </c>
      <c r="D54" s="1"/>
      <c r="E54" s="3">
        <v>3</v>
      </c>
      <c r="F54" s="3">
        <v>1</v>
      </c>
      <c r="G54" s="3">
        <v>1</v>
      </c>
      <c r="H54" s="3">
        <v>1</v>
      </c>
      <c r="I54" s="3">
        <v>1</v>
      </c>
      <c r="J54" s="3">
        <v>0</v>
      </c>
      <c r="K54" s="3">
        <v>0</v>
      </c>
      <c r="L54" s="3">
        <v>7</v>
      </c>
      <c r="M54" s="3">
        <f>IF(LEFT(tbl_timesheet[[#This Row],[Activity]],1)="5",tbl_timesheet[[#This Row],[Total]],0)</f>
        <v>0</v>
      </c>
      <c r="N54" s="3">
        <f>IF(LEFT(tbl_timesheet[[#This Row],[Activity]],1)="6",tbl_timesheet[[#This Row],[Total]],0)</f>
        <v>7</v>
      </c>
    </row>
    <row r="55" spans="1:14" x14ac:dyDescent="0.25">
      <c r="A55" s="2">
        <v>43240</v>
      </c>
      <c r="B55" s="8">
        <v>17234021</v>
      </c>
      <c r="C55" s="1" t="s">
        <v>34</v>
      </c>
      <c r="D55" s="1"/>
      <c r="E55" s="3">
        <v>2</v>
      </c>
      <c r="F55" s="3">
        <v>0</v>
      </c>
      <c r="G55" s="3">
        <v>0</v>
      </c>
      <c r="H55" s="3">
        <v>0</v>
      </c>
      <c r="I55" s="3">
        <v>3</v>
      </c>
      <c r="J55" s="3">
        <v>0</v>
      </c>
      <c r="K55" s="3">
        <v>0</v>
      </c>
      <c r="L55" s="3">
        <v>5</v>
      </c>
      <c r="M55" s="3">
        <f>IF(LEFT(tbl_timesheet[[#This Row],[Activity]],1)="5",tbl_timesheet[[#This Row],[Total]],0)</f>
        <v>0</v>
      </c>
      <c r="N55" s="3">
        <f>IF(LEFT(tbl_timesheet[[#This Row],[Activity]],1)="6",tbl_timesheet[[#This Row],[Total]],0)</f>
        <v>5</v>
      </c>
    </row>
    <row r="56" spans="1:14" x14ac:dyDescent="0.25">
      <c r="A56" s="2">
        <v>43240</v>
      </c>
      <c r="B56" s="8">
        <v>17261121</v>
      </c>
      <c r="C56" s="1" t="s">
        <v>18</v>
      </c>
      <c r="D56" s="1"/>
      <c r="E56" s="3">
        <v>4</v>
      </c>
      <c r="F56" s="3">
        <v>4</v>
      </c>
      <c r="G56" s="3">
        <v>4</v>
      </c>
      <c r="H56" s="3">
        <v>4</v>
      </c>
      <c r="I56" s="3">
        <v>0</v>
      </c>
      <c r="J56" s="3">
        <v>0</v>
      </c>
      <c r="K56" s="3">
        <v>0</v>
      </c>
      <c r="L56" s="3">
        <v>16</v>
      </c>
      <c r="M56" s="3">
        <f>IF(LEFT(tbl_timesheet[[#This Row],[Activity]],1)="5",tbl_timesheet[[#This Row],[Total]],0)</f>
        <v>0</v>
      </c>
      <c r="N56" s="3">
        <f>IF(LEFT(tbl_timesheet[[#This Row],[Activity]],1)="6",tbl_timesheet[[#This Row],[Total]],0)</f>
        <v>16</v>
      </c>
    </row>
    <row r="57" spans="1:14" x14ac:dyDescent="0.25">
      <c r="A57" s="2">
        <v>43240</v>
      </c>
      <c r="B57" s="8">
        <v>18234001</v>
      </c>
      <c r="C57" s="1" t="s">
        <v>37</v>
      </c>
      <c r="D57" s="1"/>
      <c r="E57" s="3">
        <v>0</v>
      </c>
      <c r="F57" s="3">
        <v>4</v>
      </c>
      <c r="G57" s="3">
        <v>4</v>
      </c>
      <c r="H57" s="3">
        <v>4</v>
      </c>
      <c r="I57" s="3">
        <v>0</v>
      </c>
      <c r="J57" s="3">
        <v>0</v>
      </c>
      <c r="K57" s="3">
        <v>0</v>
      </c>
      <c r="L57" s="3">
        <v>12</v>
      </c>
      <c r="M57" s="3">
        <f>IF(LEFT(tbl_timesheet[[#This Row],[Activity]],1)="5",tbl_timesheet[[#This Row],[Total]],0)</f>
        <v>0</v>
      </c>
      <c r="N57" s="3">
        <f>IF(LEFT(tbl_timesheet[[#This Row],[Activity]],1)="6",tbl_timesheet[[#This Row],[Total]],0)</f>
        <v>12</v>
      </c>
    </row>
    <row r="58" spans="1:14" x14ac:dyDescent="0.25">
      <c r="A58" s="2">
        <v>43233</v>
      </c>
      <c r="B58" s="8">
        <v>17053021</v>
      </c>
      <c r="C58" s="1" t="s">
        <v>24</v>
      </c>
      <c r="D58" s="1"/>
      <c r="E58" s="3">
        <v>0</v>
      </c>
      <c r="F58" s="3">
        <v>0</v>
      </c>
      <c r="G58" s="3">
        <v>3</v>
      </c>
      <c r="H58" s="3">
        <v>0</v>
      </c>
      <c r="I58" s="3">
        <v>0</v>
      </c>
      <c r="J58" s="3">
        <v>0</v>
      </c>
      <c r="K58" s="3">
        <v>0</v>
      </c>
      <c r="L58" s="3">
        <v>3</v>
      </c>
      <c r="M58" s="3">
        <f>IF(LEFT(tbl_timesheet[[#This Row],[Activity]],1)="5",tbl_timesheet[[#This Row],[Total]],0)</f>
        <v>0</v>
      </c>
      <c r="N58" s="3">
        <f>IF(LEFT(tbl_timesheet[[#This Row],[Activity]],1)="6",tbl_timesheet[[#This Row],[Total]],0)</f>
        <v>3</v>
      </c>
    </row>
    <row r="59" spans="1:14" x14ac:dyDescent="0.25">
      <c r="A59" s="2">
        <v>43233</v>
      </c>
      <c r="B59" s="8">
        <v>17053021</v>
      </c>
      <c r="C59" s="1" t="s">
        <v>6</v>
      </c>
      <c r="D59" s="1"/>
      <c r="E59" s="3">
        <v>0</v>
      </c>
      <c r="F59" s="3">
        <v>0</v>
      </c>
      <c r="G59" s="3">
        <v>1</v>
      </c>
      <c r="H59" s="3">
        <v>0</v>
      </c>
      <c r="I59" s="3">
        <v>0</v>
      </c>
      <c r="J59" s="3">
        <v>0</v>
      </c>
      <c r="K59" s="3">
        <v>0</v>
      </c>
      <c r="L59" s="3">
        <v>1</v>
      </c>
      <c r="M59" s="3">
        <f>IF(LEFT(tbl_timesheet[[#This Row],[Activity]],1)="5",tbl_timesheet[[#This Row],[Total]],0)</f>
        <v>0</v>
      </c>
      <c r="N59" s="3">
        <f>IF(LEFT(tbl_timesheet[[#This Row],[Activity]],1)="6",tbl_timesheet[[#This Row],[Total]],0)</f>
        <v>1</v>
      </c>
    </row>
    <row r="60" spans="1:14" x14ac:dyDescent="0.25">
      <c r="A60" s="2">
        <v>43233</v>
      </c>
      <c r="B60" s="8">
        <v>17053021</v>
      </c>
      <c r="C60" s="1" t="s">
        <v>5</v>
      </c>
      <c r="D60" s="1"/>
      <c r="E60" s="3">
        <v>2</v>
      </c>
      <c r="F60" s="3">
        <v>2</v>
      </c>
      <c r="G60" s="3">
        <v>1</v>
      </c>
      <c r="H60" s="3">
        <v>2</v>
      </c>
      <c r="I60" s="3">
        <v>0</v>
      </c>
      <c r="J60" s="3">
        <v>0</v>
      </c>
      <c r="K60" s="3">
        <v>0</v>
      </c>
      <c r="L60" s="3">
        <v>7</v>
      </c>
      <c r="M60" s="3">
        <f>IF(LEFT(tbl_timesheet[[#This Row],[Activity]],1)="5",tbl_timesheet[[#This Row],[Total]],0)</f>
        <v>0</v>
      </c>
      <c r="N60" s="3">
        <f>IF(LEFT(tbl_timesheet[[#This Row],[Activity]],1)="6",tbl_timesheet[[#This Row],[Total]],0)</f>
        <v>7</v>
      </c>
    </row>
    <row r="61" spans="1:14" x14ac:dyDescent="0.25">
      <c r="A61" s="2">
        <v>43233</v>
      </c>
      <c r="B61" s="8">
        <v>17261121</v>
      </c>
      <c r="C61" s="1" t="s">
        <v>34</v>
      </c>
      <c r="D61" s="1"/>
      <c r="E61" s="3">
        <v>2</v>
      </c>
      <c r="F61" s="3">
        <v>2</v>
      </c>
      <c r="G61" s="3">
        <v>2</v>
      </c>
      <c r="H61" s="3">
        <v>2</v>
      </c>
      <c r="I61" s="3">
        <v>4</v>
      </c>
      <c r="J61" s="3">
        <v>0</v>
      </c>
      <c r="K61" s="3">
        <v>0</v>
      </c>
      <c r="L61" s="3">
        <v>12</v>
      </c>
      <c r="M61" s="3">
        <f>IF(LEFT(tbl_timesheet[[#This Row],[Activity]],1)="5",tbl_timesheet[[#This Row],[Total]],0)</f>
        <v>0</v>
      </c>
      <c r="N61" s="3">
        <f>IF(LEFT(tbl_timesheet[[#This Row],[Activity]],1)="6",tbl_timesheet[[#This Row],[Total]],0)</f>
        <v>12</v>
      </c>
    </row>
    <row r="62" spans="1:14" x14ac:dyDescent="0.25">
      <c r="A62" s="2">
        <v>43233</v>
      </c>
      <c r="B62" s="8">
        <v>17261121</v>
      </c>
      <c r="C62" s="1" t="s">
        <v>24</v>
      </c>
      <c r="D62" s="1"/>
      <c r="E62" s="3">
        <v>0</v>
      </c>
      <c r="F62" s="3">
        <v>0</v>
      </c>
      <c r="G62" s="3">
        <v>0</v>
      </c>
      <c r="H62" s="3">
        <v>1</v>
      </c>
      <c r="I62" s="3">
        <v>0</v>
      </c>
      <c r="J62" s="3">
        <v>0</v>
      </c>
      <c r="K62" s="3">
        <v>0</v>
      </c>
      <c r="L62" s="3">
        <v>1</v>
      </c>
      <c r="M62" s="3">
        <f>IF(LEFT(tbl_timesheet[[#This Row],[Activity]],1)="5",tbl_timesheet[[#This Row],[Total]],0)</f>
        <v>0</v>
      </c>
      <c r="N62" s="3">
        <f>IF(LEFT(tbl_timesheet[[#This Row],[Activity]],1)="6",tbl_timesheet[[#This Row],[Total]],0)</f>
        <v>1</v>
      </c>
    </row>
    <row r="63" spans="1:14" x14ac:dyDescent="0.25">
      <c r="A63" s="2">
        <v>43233</v>
      </c>
      <c r="B63" s="8">
        <v>17261121</v>
      </c>
      <c r="C63" s="1" t="s">
        <v>5</v>
      </c>
      <c r="D63" s="1"/>
      <c r="E63" s="3">
        <v>2</v>
      </c>
      <c r="F63" s="3">
        <v>2</v>
      </c>
      <c r="G63" s="3">
        <v>2</v>
      </c>
      <c r="H63" s="3">
        <v>0</v>
      </c>
      <c r="I63" s="3">
        <v>0</v>
      </c>
      <c r="J63" s="3">
        <v>0</v>
      </c>
      <c r="K63" s="3">
        <v>0</v>
      </c>
      <c r="L63" s="3">
        <v>6</v>
      </c>
      <c r="M63" s="3">
        <f>IF(LEFT(tbl_timesheet[[#This Row],[Activity]],1)="5",tbl_timesheet[[#This Row],[Total]],0)</f>
        <v>0</v>
      </c>
      <c r="N63" s="3">
        <f>IF(LEFT(tbl_timesheet[[#This Row],[Activity]],1)="6",tbl_timesheet[[#This Row],[Total]],0)</f>
        <v>6</v>
      </c>
    </row>
    <row r="64" spans="1:14" x14ac:dyDescent="0.25">
      <c r="A64" s="2">
        <v>43233</v>
      </c>
      <c r="B64" s="8">
        <v>18234001</v>
      </c>
      <c r="C64" s="1" t="s">
        <v>39</v>
      </c>
      <c r="D64" s="1"/>
      <c r="E64" s="3">
        <v>3</v>
      </c>
      <c r="F64" s="3">
        <v>3</v>
      </c>
      <c r="G64" s="3">
        <v>0</v>
      </c>
      <c r="H64" s="3">
        <v>0</v>
      </c>
      <c r="I64" s="3">
        <v>0</v>
      </c>
      <c r="J64" s="3">
        <v>0</v>
      </c>
      <c r="K64" s="3">
        <v>0</v>
      </c>
      <c r="L64" s="3">
        <v>6</v>
      </c>
      <c r="M64" s="3">
        <f>IF(LEFT(tbl_timesheet[[#This Row],[Activity]],1)="5",tbl_timesheet[[#This Row],[Total]],0)</f>
        <v>0</v>
      </c>
      <c r="N64" s="3">
        <f>IF(LEFT(tbl_timesheet[[#This Row],[Activity]],1)="6",tbl_timesheet[[#This Row],[Total]],0)</f>
        <v>6</v>
      </c>
    </row>
    <row r="65" spans="1:14" x14ac:dyDescent="0.25">
      <c r="A65" s="2">
        <v>43233</v>
      </c>
      <c r="B65" s="8">
        <v>18234001</v>
      </c>
      <c r="C65" s="1" t="s">
        <v>34</v>
      </c>
      <c r="D65" s="1"/>
      <c r="E65" s="3">
        <v>0</v>
      </c>
      <c r="F65" s="3">
        <v>0</v>
      </c>
      <c r="G65" s="3">
        <v>0</v>
      </c>
      <c r="H65" s="3">
        <v>4</v>
      </c>
      <c r="I65" s="3">
        <v>0</v>
      </c>
      <c r="J65" s="3">
        <v>0</v>
      </c>
      <c r="K65" s="3">
        <v>0</v>
      </c>
      <c r="L65" s="3">
        <v>4</v>
      </c>
      <c r="M65" s="3">
        <f>IF(LEFT(tbl_timesheet[[#This Row],[Activity]],1)="5",tbl_timesheet[[#This Row],[Total]],0)</f>
        <v>0</v>
      </c>
      <c r="N65" s="3">
        <f>IF(LEFT(tbl_timesheet[[#This Row],[Activity]],1)="6",tbl_timesheet[[#This Row],[Total]],0)</f>
        <v>4</v>
      </c>
    </row>
    <row r="66" spans="1:14" x14ac:dyDescent="0.25">
      <c r="A66" s="2">
        <v>43226</v>
      </c>
      <c r="B66" s="8">
        <v>17053021</v>
      </c>
      <c r="C66" s="1" t="s">
        <v>40</v>
      </c>
      <c r="D66" s="1"/>
      <c r="E66" s="3">
        <v>2</v>
      </c>
      <c r="F66" s="3">
        <v>2</v>
      </c>
      <c r="G66" s="3">
        <v>2</v>
      </c>
      <c r="H66" s="3">
        <v>2</v>
      </c>
      <c r="I66" s="3">
        <v>0</v>
      </c>
      <c r="J66" s="3">
        <v>0</v>
      </c>
      <c r="K66" s="3">
        <v>0</v>
      </c>
      <c r="L66" s="3">
        <v>8</v>
      </c>
      <c r="M66" s="3">
        <f>IF(LEFT(tbl_timesheet[[#This Row],[Activity]],1)="5",tbl_timesheet[[#This Row],[Total]],0)</f>
        <v>0</v>
      </c>
      <c r="N66" s="3">
        <f>IF(LEFT(tbl_timesheet[[#This Row],[Activity]],1)="6",tbl_timesheet[[#This Row],[Total]],0)</f>
        <v>8</v>
      </c>
    </row>
    <row r="67" spans="1:14" x14ac:dyDescent="0.25">
      <c r="A67" s="2">
        <v>43226</v>
      </c>
      <c r="B67" s="8">
        <v>17053021</v>
      </c>
      <c r="C67" s="1" t="s">
        <v>5</v>
      </c>
      <c r="D67" s="1"/>
      <c r="E67" s="3">
        <v>0</v>
      </c>
      <c r="F67" s="3">
        <v>0</v>
      </c>
      <c r="G67" s="3">
        <v>0</v>
      </c>
      <c r="H67" s="3">
        <v>0</v>
      </c>
      <c r="I67" s="3">
        <v>3</v>
      </c>
      <c r="J67" s="3">
        <v>0</v>
      </c>
      <c r="K67" s="3">
        <v>0</v>
      </c>
      <c r="L67" s="3">
        <v>3</v>
      </c>
      <c r="M67" s="3">
        <f>IF(LEFT(tbl_timesheet[[#This Row],[Activity]],1)="5",tbl_timesheet[[#This Row],[Total]],0)</f>
        <v>0</v>
      </c>
      <c r="N67" s="3">
        <f>IF(LEFT(tbl_timesheet[[#This Row],[Activity]],1)="6",tbl_timesheet[[#This Row],[Total]],0)</f>
        <v>3</v>
      </c>
    </row>
    <row r="68" spans="1:14" x14ac:dyDescent="0.25">
      <c r="A68" s="2">
        <v>43226</v>
      </c>
      <c r="B68" s="8">
        <v>17261121</v>
      </c>
      <c r="C68" s="1" t="s">
        <v>5</v>
      </c>
      <c r="D68" s="1"/>
      <c r="E68" s="3">
        <v>0</v>
      </c>
      <c r="F68" s="3">
        <v>3</v>
      </c>
      <c r="G68" s="3">
        <v>3</v>
      </c>
      <c r="H68" s="3">
        <v>6</v>
      </c>
      <c r="I68" s="3">
        <v>0</v>
      </c>
      <c r="J68" s="3">
        <v>0</v>
      </c>
      <c r="K68" s="3">
        <v>0</v>
      </c>
      <c r="L68" s="3">
        <v>12</v>
      </c>
      <c r="M68" s="3">
        <f>IF(LEFT(tbl_timesheet[[#This Row],[Activity]],1)="5",tbl_timesheet[[#This Row],[Total]],0)</f>
        <v>0</v>
      </c>
      <c r="N68" s="3">
        <f>IF(LEFT(tbl_timesheet[[#This Row],[Activity]],1)="6",tbl_timesheet[[#This Row],[Total]],0)</f>
        <v>12</v>
      </c>
    </row>
    <row r="69" spans="1:14" x14ac:dyDescent="0.25">
      <c r="A69" s="2">
        <v>43226</v>
      </c>
      <c r="B69" s="8">
        <v>18001036</v>
      </c>
      <c r="C69" s="1" t="s">
        <v>24</v>
      </c>
      <c r="D69" s="1"/>
      <c r="E69" s="3">
        <v>4</v>
      </c>
      <c r="F69" s="3">
        <v>0</v>
      </c>
      <c r="G69" s="3">
        <v>0</v>
      </c>
      <c r="H69" s="3">
        <v>0</v>
      </c>
      <c r="I69" s="3">
        <v>0</v>
      </c>
      <c r="J69" s="3">
        <v>0</v>
      </c>
      <c r="K69" s="3">
        <v>0</v>
      </c>
      <c r="L69" s="3">
        <v>4</v>
      </c>
      <c r="M69" s="3">
        <f>IF(LEFT(tbl_timesheet[[#This Row],[Activity]],1)="5",tbl_timesheet[[#This Row],[Total]],0)</f>
        <v>0</v>
      </c>
      <c r="N69" s="3">
        <f>IF(LEFT(tbl_timesheet[[#This Row],[Activity]],1)="6",tbl_timesheet[[#This Row],[Total]],0)</f>
        <v>4</v>
      </c>
    </row>
    <row r="70" spans="1:14" x14ac:dyDescent="0.25">
      <c r="A70" s="2">
        <v>43226</v>
      </c>
      <c r="B70" s="8">
        <v>18234001</v>
      </c>
      <c r="C70" s="1" t="s">
        <v>40</v>
      </c>
      <c r="D70" s="1"/>
      <c r="E70" s="3">
        <v>4</v>
      </c>
      <c r="F70" s="3">
        <v>4</v>
      </c>
      <c r="G70" s="3">
        <v>4</v>
      </c>
      <c r="H70" s="3">
        <v>0</v>
      </c>
      <c r="I70" s="3">
        <v>0</v>
      </c>
      <c r="J70" s="3">
        <v>0</v>
      </c>
      <c r="K70" s="3">
        <v>0</v>
      </c>
      <c r="L70" s="3">
        <v>12</v>
      </c>
      <c r="M70" s="3">
        <f>IF(LEFT(tbl_timesheet[[#This Row],[Activity]],1)="5",tbl_timesheet[[#This Row],[Total]],0)</f>
        <v>0</v>
      </c>
      <c r="N70" s="3">
        <f>IF(LEFT(tbl_timesheet[[#This Row],[Activity]],1)="6",tbl_timesheet[[#This Row],[Total]],0)</f>
        <v>12</v>
      </c>
    </row>
    <row r="71" spans="1:14" x14ac:dyDescent="0.25">
      <c r="A71" s="2">
        <v>43226</v>
      </c>
      <c r="B71" s="8">
        <v>18261048</v>
      </c>
      <c r="C71" s="1" t="s">
        <v>24</v>
      </c>
      <c r="D71" s="1"/>
      <c r="E71" s="3">
        <v>0</v>
      </c>
      <c r="F71" s="3">
        <v>0</v>
      </c>
      <c r="G71" s="3">
        <v>0</v>
      </c>
      <c r="H71" s="3">
        <v>1</v>
      </c>
      <c r="I71" s="3">
        <v>0</v>
      </c>
      <c r="J71" s="3">
        <v>0</v>
      </c>
      <c r="K71" s="3">
        <v>0</v>
      </c>
      <c r="L71" s="3">
        <v>1</v>
      </c>
      <c r="M71" s="3">
        <f>IF(LEFT(tbl_timesheet[[#This Row],[Activity]],1)="5",tbl_timesheet[[#This Row],[Total]],0)</f>
        <v>0</v>
      </c>
      <c r="N71" s="3">
        <f>IF(LEFT(tbl_timesheet[[#This Row],[Activity]],1)="6",tbl_timesheet[[#This Row],[Total]],0)</f>
        <v>1</v>
      </c>
    </row>
    <row r="72" spans="1:14" x14ac:dyDescent="0.25">
      <c r="A72" s="2">
        <v>43219</v>
      </c>
      <c r="B72" s="8">
        <v>17053021</v>
      </c>
      <c r="C72" s="1" t="s">
        <v>24</v>
      </c>
      <c r="D72" s="1"/>
      <c r="E72" s="3">
        <v>0</v>
      </c>
      <c r="F72" s="3">
        <v>2</v>
      </c>
      <c r="G72" s="3">
        <v>0</v>
      </c>
      <c r="H72" s="3">
        <v>0</v>
      </c>
      <c r="I72" s="3">
        <v>0</v>
      </c>
      <c r="J72" s="3">
        <v>0</v>
      </c>
      <c r="K72" s="3">
        <v>0</v>
      </c>
      <c r="L72" s="3">
        <v>2</v>
      </c>
      <c r="M72" s="3">
        <f>IF(LEFT(tbl_timesheet[[#This Row],[Activity]],1)="5",tbl_timesheet[[#This Row],[Total]],0)</f>
        <v>0</v>
      </c>
      <c r="N72" s="3">
        <f>IF(LEFT(tbl_timesheet[[#This Row],[Activity]],1)="6",tbl_timesheet[[#This Row],[Total]],0)</f>
        <v>2</v>
      </c>
    </row>
    <row r="73" spans="1:14" x14ac:dyDescent="0.25">
      <c r="A73" s="2">
        <v>43219</v>
      </c>
      <c r="B73" s="8">
        <v>17261121</v>
      </c>
      <c r="C73" s="1" t="s">
        <v>16</v>
      </c>
      <c r="D73" s="1"/>
      <c r="E73" s="3">
        <v>6</v>
      </c>
      <c r="F73" s="3">
        <v>5</v>
      </c>
      <c r="G73" s="3">
        <v>4</v>
      </c>
      <c r="H73" s="3">
        <v>0</v>
      </c>
      <c r="I73" s="3">
        <v>0</v>
      </c>
      <c r="J73" s="3">
        <v>0</v>
      </c>
      <c r="K73" s="3">
        <v>0</v>
      </c>
      <c r="L73" s="3">
        <v>15</v>
      </c>
      <c r="M73" s="3">
        <f>IF(LEFT(tbl_timesheet[[#This Row],[Activity]],1)="5",tbl_timesheet[[#This Row],[Total]],0)</f>
        <v>0</v>
      </c>
      <c r="N73" s="3">
        <f>IF(LEFT(tbl_timesheet[[#This Row],[Activity]],1)="6",tbl_timesheet[[#This Row],[Total]],0)</f>
        <v>15</v>
      </c>
    </row>
    <row r="74" spans="1:14" x14ac:dyDescent="0.25">
      <c r="A74" s="2">
        <v>43219</v>
      </c>
      <c r="B74" s="8">
        <v>18001036</v>
      </c>
      <c r="C74" s="1" t="s">
        <v>34</v>
      </c>
      <c r="D74" s="1"/>
      <c r="E74" s="3">
        <v>0</v>
      </c>
      <c r="F74" s="3">
        <v>0</v>
      </c>
      <c r="G74" s="3">
        <v>2</v>
      </c>
      <c r="H74" s="3">
        <v>3</v>
      </c>
      <c r="I74" s="3">
        <v>0</v>
      </c>
      <c r="J74" s="3">
        <v>0</v>
      </c>
      <c r="K74" s="3">
        <v>0</v>
      </c>
      <c r="L74" s="3">
        <v>5</v>
      </c>
      <c r="M74" s="3">
        <f>IF(LEFT(tbl_timesheet[[#This Row],[Activity]],1)="5",tbl_timesheet[[#This Row],[Total]],0)</f>
        <v>0</v>
      </c>
      <c r="N74" s="3">
        <f>IF(LEFT(tbl_timesheet[[#This Row],[Activity]],1)="6",tbl_timesheet[[#This Row],[Total]],0)</f>
        <v>5</v>
      </c>
    </row>
    <row r="75" spans="1:14" x14ac:dyDescent="0.25">
      <c r="A75" s="2">
        <v>43219</v>
      </c>
      <c r="B75" s="8">
        <v>18234001</v>
      </c>
      <c r="C75" s="1" t="s">
        <v>40</v>
      </c>
      <c r="D75" s="1"/>
      <c r="E75" s="3">
        <v>4</v>
      </c>
      <c r="F75" s="3">
        <v>3</v>
      </c>
      <c r="G75" s="3">
        <v>4</v>
      </c>
      <c r="H75" s="3">
        <v>0</v>
      </c>
      <c r="I75" s="3">
        <v>0</v>
      </c>
      <c r="J75" s="3">
        <v>0</v>
      </c>
      <c r="K75" s="3">
        <v>0</v>
      </c>
      <c r="L75" s="3">
        <v>11</v>
      </c>
      <c r="M75" s="3">
        <f>IF(LEFT(tbl_timesheet[[#This Row],[Activity]],1)="5",tbl_timesheet[[#This Row],[Total]],0)</f>
        <v>0</v>
      </c>
      <c r="N75" s="3">
        <f>IF(LEFT(tbl_timesheet[[#This Row],[Activity]],1)="6",tbl_timesheet[[#This Row],[Total]],0)</f>
        <v>11</v>
      </c>
    </row>
    <row r="76" spans="1:14" x14ac:dyDescent="0.25">
      <c r="A76" s="2">
        <v>43219</v>
      </c>
      <c r="B76" s="8">
        <v>18234001</v>
      </c>
      <c r="C76" s="1" t="s">
        <v>37</v>
      </c>
      <c r="D76" s="1"/>
      <c r="E76" s="3">
        <v>0</v>
      </c>
      <c r="F76" s="3">
        <v>0</v>
      </c>
      <c r="G76" s="3">
        <v>0</v>
      </c>
      <c r="H76" s="3">
        <v>7</v>
      </c>
      <c r="I76" s="3">
        <v>4</v>
      </c>
      <c r="J76" s="3">
        <v>0</v>
      </c>
      <c r="K76" s="3">
        <v>0</v>
      </c>
      <c r="L76" s="3">
        <v>11</v>
      </c>
      <c r="M76" s="3">
        <f>IF(LEFT(tbl_timesheet[[#This Row],[Activity]],1)="5",tbl_timesheet[[#This Row],[Total]],0)</f>
        <v>0</v>
      </c>
      <c r="N76" s="3">
        <f>IF(LEFT(tbl_timesheet[[#This Row],[Activity]],1)="6",tbl_timesheet[[#This Row],[Total]],0)</f>
        <v>11</v>
      </c>
    </row>
    <row r="77" spans="1:14" x14ac:dyDescent="0.25">
      <c r="A77" s="2">
        <v>43212</v>
      </c>
      <c r="B77" s="8">
        <v>17053021</v>
      </c>
      <c r="C77" s="1" t="s">
        <v>24</v>
      </c>
      <c r="D77" s="1"/>
      <c r="E77" s="3">
        <v>1</v>
      </c>
      <c r="F77" s="3">
        <v>3</v>
      </c>
      <c r="G77" s="3">
        <v>0</v>
      </c>
      <c r="H77" s="3">
        <v>0</v>
      </c>
      <c r="I77" s="3">
        <v>0</v>
      </c>
      <c r="J77" s="3">
        <v>0</v>
      </c>
      <c r="K77" s="3">
        <v>0</v>
      </c>
      <c r="L77" s="3">
        <v>4</v>
      </c>
      <c r="M77" s="3">
        <f>IF(LEFT(tbl_timesheet[[#This Row],[Activity]],1)="5",tbl_timesheet[[#This Row],[Total]],0)</f>
        <v>0</v>
      </c>
      <c r="N77" s="3">
        <f>IF(LEFT(tbl_timesheet[[#This Row],[Activity]],1)="6",tbl_timesheet[[#This Row],[Total]],0)</f>
        <v>4</v>
      </c>
    </row>
    <row r="78" spans="1:14" x14ac:dyDescent="0.25">
      <c r="A78" s="2">
        <v>43212</v>
      </c>
      <c r="B78" s="8">
        <v>17053021</v>
      </c>
      <c r="C78" s="1" t="s">
        <v>40</v>
      </c>
      <c r="D78" s="1"/>
      <c r="E78" s="3">
        <v>2</v>
      </c>
      <c r="F78" s="3">
        <v>0</v>
      </c>
      <c r="G78" s="3">
        <v>0</v>
      </c>
      <c r="H78" s="3">
        <v>0</v>
      </c>
      <c r="I78" s="3">
        <v>0</v>
      </c>
      <c r="J78" s="3">
        <v>0</v>
      </c>
      <c r="K78" s="3">
        <v>0</v>
      </c>
      <c r="L78" s="3">
        <v>2</v>
      </c>
      <c r="M78" s="3">
        <f>IF(LEFT(tbl_timesheet[[#This Row],[Activity]],1)="5",tbl_timesheet[[#This Row],[Total]],0)</f>
        <v>0</v>
      </c>
      <c r="N78" s="3">
        <f>IF(LEFT(tbl_timesheet[[#This Row],[Activity]],1)="6",tbl_timesheet[[#This Row],[Total]],0)</f>
        <v>2</v>
      </c>
    </row>
    <row r="79" spans="1:14" x14ac:dyDescent="0.25">
      <c r="A79" s="2">
        <v>43212</v>
      </c>
      <c r="B79" s="8">
        <v>17234021</v>
      </c>
      <c r="C79" s="1" t="s">
        <v>34</v>
      </c>
      <c r="D79" s="1"/>
      <c r="E79" s="3">
        <v>1</v>
      </c>
      <c r="F79" s="3">
        <v>1</v>
      </c>
      <c r="G79" s="3">
        <v>0</v>
      </c>
      <c r="H79" s="3">
        <v>0</v>
      </c>
      <c r="I79" s="3">
        <v>0</v>
      </c>
      <c r="J79" s="3">
        <v>0</v>
      </c>
      <c r="K79" s="3">
        <v>0</v>
      </c>
      <c r="L79" s="3">
        <v>2</v>
      </c>
      <c r="M79" s="3">
        <f>IF(LEFT(tbl_timesheet[[#This Row],[Activity]],1)="5",tbl_timesheet[[#This Row],[Total]],0)</f>
        <v>0</v>
      </c>
      <c r="N79" s="3">
        <f>IF(LEFT(tbl_timesheet[[#This Row],[Activity]],1)="6",tbl_timesheet[[#This Row],[Total]],0)</f>
        <v>2</v>
      </c>
    </row>
    <row r="80" spans="1:14" x14ac:dyDescent="0.25">
      <c r="A80" s="2">
        <v>43212</v>
      </c>
      <c r="B80" s="8">
        <v>17234021</v>
      </c>
      <c r="C80" s="1" t="s">
        <v>39</v>
      </c>
      <c r="D80" s="1"/>
      <c r="E80" s="3">
        <v>0</v>
      </c>
      <c r="F80" s="3">
        <v>0</v>
      </c>
      <c r="G80" s="3">
        <v>5</v>
      </c>
      <c r="H80" s="3">
        <v>0</v>
      </c>
      <c r="I80" s="3">
        <v>0</v>
      </c>
      <c r="J80" s="3">
        <v>0</v>
      </c>
      <c r="K80" s="3">
        <v>0</v>
      </c>
      <c r="L80" s="3">
        <v>5</v>
      </c>
      <c r="M80" s="3">
        <f>IF(LEFT(tbl_timesheet[[#This Row],[Activity]],1)="5",tbl_timesheet[[#This Row],[Total]],0)</f>
        <v>0</v>
      </c>
      <c r="N80" s="3">
        <f>IF(LEFT(tbl_timesheet[[#This Row],[Activity]],1)="6",tbl_timesheet[[#This Row],[Total]],0)</f>
        <v>5</v>
      </c>
    </row>
    <row r="81" spans="1:14" x14ac:dyDescent="0.25">
      <c r="A81" s="2">
        <v>43212</v>
      </c>
      <c r="B81" s="8">
        <v>17261121</v>
      </c>
      <c r="C81" s="1" t="s">
        <v>16</v>
      </c>
      <c r="D81" s="1"/>
      <c r="E81" s="3">
        <v>0</v>
      </c>
      <c r="F81" s="3">
        <v>0</v>
      </c>
      <c r="G81" s="3">
        <v>2</v>
      </c>
      <c r="H81" s="3">
        <v>9</v>
      </c>
      <c r="I81" s="3">
        <v>0</v>
      </c>
      <c r="J81" s="3">
        <v>0</v>
      </c>
      <c r="K81" s="3">
        <v>0</v>
      </c>
      <c r="L81" s="3">
        <v>11</v>
      </c>
      <c r="M81" s="3">
        <f>IF(LEFT(tbl_timesheet[[#This Row],[Activity]],1)="5",tbl_timesheet[[#This Row],[Total]],0)</f>
        <v>0</v>
      </c>
      <c r="N81" s="3">
        <f>IF(LEFT(tbl_timesheet[[#This Row],[Activity]],1)="6",tbl_timesheet[[#This Row],[Total]],0)</f>
        <v>11</v>
      </c>
    </row>
    <row r="82" spans="1:14" x14ac:dyDescent="0.25">
      <c r="A82" s="2">
        <v>43212</v>
      </c>
      <c r="B82" s="8">
        <v>17261121</v>
      </c>
      <c r="C82" s="1" t="s">
        <v>5</v>
      </c>
      <c r="D82" s="1"/>
      <c r="E82" s="3">
        <v>1</v>
      </c>
      <c r="F82" s="3">
        <v>2</v>
      </c>
      <c r="G82" s="3">
        <v>0</v>
      </c>
      <c r="H82" s="3">
        <v>0</v>
      </c>
      <c r="I82" s="3">
        <v>0</v>
      </c>
      <c r="J82" s="3">
        <v>0</v>
      </c>
      <c r="K82" s="3">
        <v>0</v>
      </c>
      <c r="L82" s="3">
        <v>3</v>
      </c>
      <c r="M82" s="3">
        <f>IF(LEFT(tbl_timesheet[[#This Row],[Activity]],1)="5",tbl_timesheet[[#This Row],[Total]],0)</f>
        <v>0</v>
      </c>
      <c r="N82" s="3">
        <f>IF(LEFT(tbl_timesheet[[#This Row],[Activity]],1)="6",tbl_timesheet[[#This Row],[Total]],0)</f>
        <v>3</v>
      </c>
    </row>
    <row r="83" spans="1:14" x14ac:dyDescent="0.25">
      <c r="A83" s="2">
        <v>43212</v>
      </c>
      <c r="B83" s="8">
        <v>17261121</v>
      </c>
      <c r="C83" s="1" t="s">
        <v>6</v>
      </c>
      <c r="D83" s="1"/>
      <c r="E83" s="3">
        <v>1</v>
      </c>
      <c r="F83" s="3">
        <v>3</v>
      </c>
      <c r="G83" s="3">
        <v>0</v>
      </c>
      <c r="H83" s="3">
        <v>0</v>
      </c>
      <c r="I83" s="3">
        <v>0</v>
      </c>
      <c r="J83" s="3">
        <v>0</v>
      </c>
      <c r="K83" s="3">
        <v>0</v>
      </c>
      <c r="L83" s="3">
        <v>4</v>
      </c>
      <c r="M83" s="3">
        <f>IF(LEFT(tbl_timesheet[[#This Row],[Activity]],1)="5",tbl_timesheet[[#This Row],[Total]],0)</f>
        <v>0</v>
      </c>
      <c r="N83" s="3">
        <f>IF(LEFT(tbl_timesheet[[#This Row],[Activity]],1)="6",tbl_timesheet[[#This Row],[Total]],0)</f>
        <v>4</v>
      </c>
    </row>
    <row r="84" spans="1:14" x14ac:dyDescent="0.25">
      <c r="A84" s="2">
        <v>43212</v>
      </c>
      <c r="B84" s="8">
        <v>17261121</v>
      </c>
      <c r="C84" s="1" t="s">
        <v>24</v>
      </c>
      <c r="D84" s="1"/>
      <c r="E84" s="3">
        <v>1</v>
      </c>
      <c r="F84" s="3">
        <v>0</v>
      </c>
      <c r="G84" s="3">
        <v>0</v>
      </c>
      <c r="H84" s="3">
        <v>0</v>
      </c>
      <c r="I84" s="3">
        <v>0</v>
      </c>
      <c r="J84" s="3">
        <v>0</v>
      </c>
      <c r="K84" s="3">
        <v>0</v>
      </c>
      <c r="L84" s="3">
        <v>1</v>
      </c>
      <c r="M84" s="3">
        <f>IF(LEFT(tbl_timesheet[[#This Row],[Activity]],1)="5",tbl_timesheet[[#This Row],[Total]],0)</f>
        <v>0</v>
      </c>
      <c r="N84" s="3">
        <f>IF(LEFT(tbl_timesheet[[#This Row],[Activity]],1)="6",tbl_timesheet[[#This Row],[Total]],0)</f>
        <v>1</v>
      </c>
    </row>
    <row r="85" spans="1:14" x14ac:dyDescent="0.25">
      <c r="A85" s="2">
        <v>43212</v>
      </c>
      <c r="B85" s="8">
        <v>18234001</v>
      </c>
      <c r="C85" s="1" t="s">
        <v>6</v>
      </c>
      <c r="D85" s="1"/>
      <c r="E85" s="3">
        <v>2</v>
      </c>
      <c r="F85" s="3">
        <v>0</v>
      </c>
      <c r="G85" s="3">
        <v>1</v>
      </c>
      <c r="H85" s="3">
        <v>0</v>
      </c>
      <c r="I85" s="3">
        <v>0</v>
      </c>
      <c r="J85" s="3">
        <v>0</v>
      </c>
      <c r="K85" s="3">
        <v>0</v>
      </c>
      <c r="L85" s="3">
        <v>3</v>
      </c>
      <c r="M85" s="3">
        <f>IF(LEFT(tbl_timesheet[[#This Row],[Activity]],1)="5",tbl_timesheet[[#This Row],[Total]],0)</f>
        <v>0</v>
      </c>
      <c r="N85" s="3">
        <f>IF(LEFT(tbl_timesheet[[#This Row],[Activity]],1)="6",tbl_timesheet[[#This Row],[Total]],0)</f>
        <v>3</v>
      </c>
    </row>
    <row r="86" spans="1:14" x14ac:dyDescent="0.25">
      <c r="A86" s="2">
        <v>43212</v>
      </c>
      <c r="B86" s="8">
        <v>18234001</v>
      </c>
      <c r="C86" s="1" t="s">
        <v>40</v>
      </c>
      <c r="D86" s="1"/>
      <c r="E86" s="3">
        <v>1</v>
      </c>
      <c r="F86" s="3">
        <v>1</v>
      </c>
      <c r="G86" s="3">
        <v>3</v>
      </c>
      <c r="H86" s="3">
        <v>0</v>
      </c>
      <c r="I86" s="3">
        <v>0</v>
      </c>
      <c r="J86" s="3">
        <v>0</v>
      </c>
      <c r="K86" s="3">
        <v>0</v>
      </c>
      <c r="L86" s="3">
        <v>5</v>
      </c>
      <c r="M86" s="3">
        <f>IF(LEFT(tbl_timesheet[[#This Row],[Activity]],1)="5",tbl_timesheet[[#This Row],[Total]],0)</f>
        <v>0</v>
      </c>
      <c r="N86" s="3">
        <f>IF(LEFT(tbl_timesheet[[#This Row],[Activity]],1)="6",tbl_timesheet[[#This Row],[Total]],0)</f>
        <v>5</v>
      </c>
    </row>
    <row r="87" spans="1:14" x14ac:dyDescent="0.25">
      <c r="A87" s="2">
        <v>43205</v>
      </c>
      <c r="B87" s="8">
        <v>17053021</v>
      </c>
      <c r="C87" s="1" t="s">
        <v>16</v>
      </c>
      <c r="D87" s="1"/>
      <c r="E87" s="3">
        <v>4</v>
      </c>
      <c r="F87" s="3">
        <v>4</v>
      </c>
      <c r="G87" s="3">
        <v>3</v>
      </c>
      <c r="H87" s="3">
        <v>0</v>
      </c>
      <c r="I87" s="3">
        <v>0</v>
      </c>
      <c r="J87" s="3">
        <v>0</v>
      </c>
      <c r="K87" s="3">
        <v>0</v>
      </c>
      <c r="L87" s="3">
        <v>11</v>
      </c>
      <c r="M87" s="3">
        <f>IF(LEFT(tbl_timesheet[[#This Row],[Activity]],1)="5",tbl_timesheet[[#This Row],[Total]],0)</f>
        <v>0</v>
      </c>
      <c r="N87" s="3">
        <f>IF(LEFT(tbl_timesheet[[#This Row],[Activity]],1)="6",tbl_timesheet[[#This Row],[Total]],0)</f>
        <v>11</v>
      </c>
    </row>
    <row r="88" spans="1:14" x14ac:dyDescent="0.25">
      <c r="A88" s="2">
        <v>43205</v>
      </c>
      <c r="B88" s="8">
        <v>17053021</v>
      </c>
      <c r="C88" s="1" t="s">
        <v>18</v>
      </c>
      <c r="D88" s="1"/>
      <c r="E88" s="3">
        <v>4</v>
      </c>
      <c r="F88" s="3">
        <v>0</v>
      </c>
      <c r="G88" s="3">
        <v>1</v>
      </c>
      <c r="H88" s="3">
        <v>0</v>
      </c>
      <c r="I88" s="3">
        <v>0</v>
      </c>
      <c r="J88" s="3">
        <v>0</v>
      </c>
      <c r="K88" s="3">
        <v>0</v>
      </c>
      <c r="L88" s="3">
        <v>5</v>
      </c>
      <c r="M88" s="3">
        <f>IF(LEFT(tbl_timesheet[[#This Row],[Activity]],1)="5",tbl_timesheet[[#This Row],[Total]],0)</f>
        <v>0</v>
      </c>
      <c r="N88" s="3">
        <f>IF(LEFT(tbl_timesheet[[#This Row],[Activity]],1)="6",tbl_timesheet[[#This Row],[Total]],0)</f>
        <v>5</v>
      </c>
    </row>
    <row r="89" spans="1:14" x14ac:dyDescent="0.25">
      <c r="A89" s="2">
        <v>43205</v>
      </c>
      <c r="B89" s="8">
        <v>17053021</v>
      </c>
      <c r="C89" s="1" t="s">
        <v>5</v>
      </c>
      <c r="D89" s="1"/>
      <c r="E89" s="3">
        <v>0</v>
      </c>
      <c r="F89" s="3">
        <v>0</v>
      </c>
      <c r="G89" s="3">
        <v>0</v>
      </c>
      <c r="H89" s="3">
        <v>4</v>
      </c>
      <c r="I89" s="3">
        <v>6</v>
      </c>
      <c r="J89" s="3">
        <v>0</v>
      </c>
      <c r="K89" s="3">
        <v>0</v>
      </c>
      <c r="L89" s="3">
        <v>10</v>
      </c>
      <c r="M89" s="3">
        <f>IF(LEFT(tbl_timesheet[[#This Row],[Activity]],1)="5",tbl_timesheet[[#This Row],[Total]],0)</f>
        <v>0</v>
      </c>
      <c r="N89" s="3">
        <f>IF(LEFT(tbl_timesheet[[#This Row],[Activity]],1)="6",tbl_timesheet[[#This Row],[Total]],0)</f>
        <v>10</v>
      </c>
    </row>
    <row r="90" spans="1:14" x14ac:dyDescent="0.25">
      <c r="A90" s="2">
        <v>43205</v>
      </c>
      <c r="B90" s="8">
        <v>18234003</v>
      </c>
      <c r="C90" s="1" t="s">
        <v>18</v>
      </c>
      <c r="D90" s="1"/>
      <c r="E90" s="3">
        <v>0</v>
      </c>
      <c r="F90" s="3">
        <v>0</v>
      </c>
      <c r="G90" s="3">
        <v>0</v>
      </c>
      <c r="H90" s="3">
        <v>1</v>
      </c>
      <c r="I90" s="3">
        <v>0</v>
      </c>
      <c r="J90" s="3">
        <v>0</v>
      </c>
      <c r="K90" s="3">
        <v>0</v>
      </c>
      <c r="L90" s="3">
        <v>1</v>
      </c>
      <c r="M90" s="3">
        <f>IF(LEFT(tbl_timesheet[[#This Row],[Activity]],1)="5",tbl_timesheet[[#This Row],[Total]],0)</f>
        <v>0</v>
      </c>
      <c r="N90" s="3">
        <f>IF(LEFT(tbl_timesheet[[#This Row],[Activity]],1)="6",tbl_timesheet[[#This Row],[Total]],0)</f>
        <v>1</v>
      </c>
    </row>
    <row r="91" spans="1:14" x14ac:dyDescent="0.25">
      <c r="A91" s="2">
        <v>43205</v>
      </c>
      <c r="B91" s="8">
        <v>18234003</v>
      </c>
      <c r="C91" s="1" t="s">
        <v>6</v>
      </c>
      <c r="D91" s="1"/>
      <c r="E91" s="3">
        <v>1</v>
      </c>
      <c r="F91" s="3">
        <v>1</v>
      </c>
      <c r="G91" s="3">
        <v>1</v>
      </c>
      <c r="H91" s="3">
        <v>0</v>
      </c>
      <c r="I91" s="3">
        <v>0</v>
      </c>
      <c r="J91" s="3">
        <v>0</v>
      </c>
      <c r="K91" s="3">
        <v>0</v>
      </c>
      <c r="L91" s="3">
        <v>3</v>
      </c>
      <c r="M91" s="3">
        <f>IF(LEFT(tbl_timesheet[[#This Row],[Activity]],1)="5",tbl_timesheet[[#This Row],[Total]],0)</f>
        <v>0</v>
      </c>
      <c r="N91" s="3">
        <f>IF(LEFT(tbl_timesheet[[#This Row],[Activity]],1)="6",tbl_timesheet[[#This Row],[Total]],0)</f>
        <v>3</v>
      </c>
    </row>
    <row r="92" spans="1:14" x14ac:dyDescent="0.25">
      <c r="A92" s="2">
        <v>43205</v>
      </c>
      <c r="B92" s="8">
        <v>18234003</v>
      </c>
      <c r="C92" s="1" t="s">
        <v>30</v>
      </c>
      <c r="D92" s="1"/>
      <c r="E92" s="3">
        <v>0</v>
      </c>
      <c r="F92" s="3">
        <v>3</v>
      </c>
      <c r="G92" s="3">
        <v>2</v>
      </c>
      <c r="H92" s="3">
        <v>0</v>
      </c>
      <c r="I92" s="3">
        <v>0</v>
      </c>
      <c r="J92" s="3">
        <v>0</v>
      </c>
      <c r="K92" s="3">
        <v>0</v>
      </c>
      <c r="L92" s="3">
        <v>5</v>
      </c>
      <c r="M92" s="3">
        <f>IF(LEFT(tbl_timesheet[[#This Row],[Activity]],1)="5",tbl_timesheet[[#This Row],[Total]],0)</f>
        <v>0</v>
      </c>
      <c r="N92" s="3">
        <f>IF(LEFT(tbl_timesheet[[#This Row],[Activity]],1)="6",tbl_timesheet[[#This Row],[Total]],0)</f>
        <v>5</v>
      </c>
    </row>
    <row r="93" spans="1:14" x14ac:dyDescent="0.25">
      <c r="A93" s="2">
        <v>43205</v>
      </c>
      <c r="B93" s="8">
        <v>18261001</v>
      </c>
      <c r="C93" s="1" t="s">
        <v>5</v>
      </c>
      <c r="D93" s="1"/>
      <c r="E93" s="3">
        <v>0</v>
      </c>
      <c r="F93" s="3">
        <v>1</v>
      </c>
      <c r="G93" s="3">
        <v>0</v>
      </c>
      <c r="H93" s="3">
        <v>6</v>
      </c>
      <c r="I93" s="3">
        <v>3</v>
      </c>
      <c r="J93" s="3">
        <v>0</v>
      </c>
      <c r="K93" s="3">
        <v>0</v>
      </c>
      <c r="L93" s="3">
        <v>10</v>
      </c>
      <c r="M93" s="3">
        <f>IF(LEFT(tbl_timesheet[[#This Row],[Activity]],1)="5",tbl_timesheet[[#This Row],[Total]],0)</f>
        <v>0</v>
      </c>
      <c r="N93" s="3">
        <f>IF(LEFT(tbl_timesheet[[#This Row],[Activity]],1)="6",tbl_timesheet[[#This Row],[Total]],0)</f>
        <v>10</v>
      </c>
    </row>
    <row r="94" spans="1:14" x14ac:dyDescent="0.25">
      <c r="A94" s="2">
        <v>43205</v>
      </c>
      <c r="B94" s="8">
        <v>18261001</v>
      </c>
      <c r="C94" s="1" t="s">
        <v>24</v>
      </c>
      <c r="D94" s="1"/>
      <c r="E94" s="3">
        <v>0</v>
      </c>
      <c r="F94" s="3">
        <v>0</v>
      </c>
      <c r="G94" s="3">
        <v>2</v>
      </c>
      <c r="H94" s="3">
        <v>0</v>
      </c>
      <c r="I94" s="3">
        <v>0</v>
      </c>
      <c r="J94" s="3">
        <v>0</v>
      </c>
      <c r="K94" s="3">
        <v>0</v>
      </c>
      <c r="L94" s="3">
        <v>2</v>
      </c>
      <c r="M94" s="3">
        <f>IF(LEFT(tbl_timesheet[[#This Row],[Activity]],1)="5",tbl_timesheet[[#This Row],[Total]],0)</f>
        <v>0</v>
      </c>
      <c r="N94" s="3">
        <f>IF(LEFT(tbl_timesheet[[#This Row],[Activity]],1)="6",tbl_timesheet[[#This Row],[Total]],0)</f>
        <v>2</v>
      </c>
    </row>
    <row r="95" spans="1:14" x14ac:dyDescent="0.25">
      <c r="A95" s="2">
        <v>43198</v>
      </c>
      <c r="B95" s="8">
        <v>17053021</v>
      </c>
      <c r="C95" s="1" t="s">
        <v>18</v>
      </c>
      <c r="D95" s="1"/>
      <c r="E95" s="3">
        <v>0</v>
      </c>
      <c r="F95" s="3">
        <v>0</v>
      </c>
      <c r="G95" s="3">
        <v>0</v>
      </c>
      <c r="H95" s="3">
        <v>2</v>
      </c>
      <c r="I95" s="3">
        <v>1</v>
      </c>
      <c r="J95" s="3">
        <v>0</v>
      </c>
      <c r="K95" s="3">
        <v>0</v>
      </c>
      <c r="L95" s="3">
        <v>3</v>
      </c>
      <c r="M95" s="3">
        <f>IF(LEFT(tbl_timesheet[[#This Row],[Activity]],1)="5",tbl_timesheet[[#This Row],[Total]],0)</f>
        <v>0</v>
      </c>
      <c r="N95" s="3">
        <f>IF(LEFT(tbl_timesheet[[#This Row],[Activity]],1)="6",tbl_timesheet[[#This Row],[Total]],0)</f>
        <v>3</v>
      </c>
    </row>
    <row r="96" spans="1:14" x14ac:dyDescent="0.25">
      <c r="A96" s="2">
        <v>43198</v>
      </c>
      <c r="B96" s="8">
        <v>17106006</v>
      </c>
      <c r="C96" s="1" t="s">
        <v>34</v>
      </c>
      <c r="D96" s="1"/>
      <c r="E96" s="3">
        <v>0</v>
      </c>
      <c r="F96" s="3">
        <v>2</v>
      </c>
      <c r="G96" s="3">
        <v>0</v>
      </c>
      <c r="H96" s="3">
        <v>0</v>
      </c>
      <c r="I96" s="3">
        <v>4</v>
      </c>
      <c r="J96" s="3">
        <v>0</v>
      </c>
      <c r="K96" s="3">
        <v>0</v>
      </c>
      <c r="L96" s="3">
        <v>6</v>
      </c>
      <c r="M96" s="3">
        <f>IF(LEFT(tbl_timesheet[[#This Row],[Activity]],1)="5",tbl_timesheet[[#This Row],[Total]],0)</f>
        <v>0</v>
      </c>
      <c r="N96" s="3">
        <f>IF(LEFT(tbl_timesheet[[#This Row],[Activity]],1)="6",tbl_timesheet[[#This Row],[Total]],0)</f>
        <v>6</v>
      </c>
    </row>
    <row r="97" spans="1:14" x14ac:dyDescent="0.25">
      <c r="A97" s="2">
        <v>43198</v>
      </c>
      <c r="B97" s="8">
        <v>17261121</v>
      </c>
      <c r="C97" s="1" t="s">
        <v>16</v>
      </c>
      <c r="D97" s="1"/>
      <c r="E97" s="3">
        <v>0</v>
      </c>
      <c r="F97" s="3">
        <v>0</v>
      </c>
      <c r="G97" s="3">
        <v>0</v>
      </c>
      <c r="H97" s="3">
        <v>3</v>
      </c>
      <c r="I97" s="3">
        <v>0</v>
      </c>
      <c r="J97" s="3">
        <v>0</v>
      </c>
      <c r="K97" s="3">
        <v>0</v>
      </c>
      <c r="L97" s="3">
        <v>3</v>
      </c>
      <c r="M97" s="3">
        <f>IF(LEFT(tbl_timesheet[[#This Row],[Activity]],1)="5",tbl_timesheet[[#This Row],[Total]],0)</f>
        <v>0</v>
      </c>
      <c r="N97" s="3">
        <f>IF(LEFT(tbl_timesheet[[#This Row],[Activity]],1)="6",tbl_timesheet[[#This Row],[Total]],0)</f>
        <v>3</v>
      </c>
    </row>
    <row r="98" spans="1:14" x14ac:dyDescent="0.25">
      <c r="A98" s="2">
        <v>43198</v>
      </c>
      <c r="B98" s="8">
        <v>18000000</v>
      </c>
      <c r="C98" s="1" t="s">
        <v>3</v>
      </c>
      <c r="D98" s="1"/>
      <c r="E98" s="3">
        <v>8</v>
      </c>
      <c r="F98" s="3">
        <v>0</v>
      </c>
      <c r="G98" s="3">
        <v>0</v>
      </c>
      <c r="H98" s="3">
        <v>0</v>
      </c>
      <c r="I98" s="3">
        <v>0</v>
      </c>
      <c r="J98" s="3">
        <v>0</v>
      </c>
      <c r="K98" s="3">
        <v>0</v>
      </c>
      <c r="L98" s="3">
        <v>8</v>
      </c>
      <c r="M98" s="3">
        <f>IF(LEFT(tbl_timesheet[[#This Row],[Activity]],1)="5",tbl_timesheet[[#This Row],[Total]],0)</f>
        <v>0</v>
      </c>
      <c r="N98" s="3">
        <f>IF(LEFT(tbl_timesheet[[#This Row],[Activity]],1)="6",tbl_timesheet[[#This Row],[Total]],0)</f>
        <v>8</v>
      </c>
    </row>
    <row r="99" spans="1:14" x14ac:dyDescent="0.25">
      <c r="A99" s="2">
        <v>43198</v>
      </c>
      <c r="B99" s="8">
        <v>18234003</v>
      </c>
      <c r="C99" s="1" t="s">
        <v>5</v>
      </c>
      <c r="D99" s="1"/>
      <c r="E99" s="3">
        <v>0</v>
      </c>
      <c r="F99" s="3">
        <v>0</v>
      </c>
      <c r="G99" s="3">
        <v>8</v>
      </c>
      <c r="H99" s="3">
        <v>0</v>
      </c>
      <c r="I99" s="3">
        <v>0</v>
      </c>
      <c r="J99" s="3">
        <v>0</v>
      </c>
      <c r="K99" s="3">
        <v>0</v>
      </c>
      <c r="L99" s="3">
        <v>8</v>
      </c>
      <c r="M99" s="3">
        <f>IF(LEFT(tbl_timesheet[[#This Row],[Activity]],1)="5",tbl_timesheet[[#This Row],[Total]],0)</f>
        <v>0</v>
      </c>
      <c r="N99" s="3">
        <f>IF(LEFT(tbl_timesheet[[#This Row],[Activity]],1)="6",tbl_timesheet[[#This Row],[Total]],0)</f>
        <v>8</v>
      </c>
    </row>
    <row r="100" spans="1:14" x14ac:dyDescent="0.25">
      <c r="A100" s="2">
        <v>43198</v>
      </c>
      <c r="B100" s="8">
        <v>18234003</v>
      </c>
      <c r="C100" s="1" t="s">
        <v>6</v>
      </c>
      <c r="D100" s="1"/>
      <c r="E100" s="3">
        <v>0</v>
      </c>
      <c r="F100" s="3">
        <v>5</v>
      </c>
      <c r="G100" s="3">
        <v>0</v>
      </c>
      <c r="H100" s="3">
        <v>0</v>
      </c>
      <c r="I100" s="3">
        <v>1</v>
      </c>
      <c r="J100" s="3">
        <v>0</v>
      </c>
      <c r="K100" s="3">
        <v>0</v>
      </c>
      <c r="L100" s="3">
        <v>6</v>
      </c>
      <c r="M100" s="3">
        <f>IF(LEFT(tbl_timesheet[[#This Row],[Activity]],1)="5",tbl_timesheet[[#This Row],[Total]],0)</f>
        <v>0</v>
      </c>
      <c r="N100" s="3">
        <f>IF(LEFT(tbl_timesheet[[#This Row],[Activity]],1)="6",tbl_timesheet[[#This Row],[Total]],0)</f>
        <v>6</v>
      </c>
    </row>
    <row r="101" spans="1:14" x14ac:dyDescent="0.25">
      <c r="A101" s="2">
        <v>43198</v>
      </c>
      <c r="B101" s="8">
        <v>18234003</v>
      </c>
      <c r="C101" s="1" t="s">
        <v>34</v>
      </c>
      <c r="D101" s="1"/>
      <c r="E101" s="3">
        <v>0</v>
      </c>
      <c r="F101" s="3">
        <v>0</v>
      </c>
      <c r="G101" s="3">
        <v>0</v>
      </c>
      <c r="H101" s="3">
        <v>0</v>
      </c>
      <c r="I101" s="3">
        <v>1</v>
      </c>
      <c r="J101" s="3">
        <v>0</v>
      </c>
      <c r="K101" s="3">
        <v>0</v>
      </c>
      <c r="L101" s="3">
        <v>1</v>
      </c>
      <c r="M101" s="3">
        <f>IF(LEFT(tbl_timesheet[[#This Row],[Activity]],1)="5",tbl_timesheet[[#This Row],[Total]],0)</f>
        <v>0</v>
      </c>
      <c r="N101" s="3">
        <f>IF(LEFT(tbl_timesheet[[#This Row],[Activity]],1)="6",tbl_timesheet[[#This Row],[Total]],0)</f>
        <v>1</v>
      </c>
    </row>
    <row r="102" spans="1:14" x14ac:dyDescent="0.25">
      <c r="A102" s="2">
        <v>43198</v>
      </c>
      <c r="B102" s="8">
        <v>18234003</v>
      </c>
      <c r="C102" s="1" t="s">
        <v>37</v>
      </c>
      <c r="D102" s="1"/>
      <c r="E102" s="3">
        <v>0</v>
      </c>
      <c r="F102" s="3">
        <v>0</v>
      </c>
      <c r="G102" s="3">
        <v>0</v>
      </c>
      <c r="H102" s="3">
        <v>0</v>
      </c>
      <c r="I102" s="3">
        <v>2</v>
      </c>
      <c r="J102" s="3">
        <v>0</v>
      </c>
      <c r="K102" s="3">
        <v>0</v>
      </c>
      <c r="L102" s="3">
        <v>2</v>
      </c>
      <c r="M102" s="3">
        <f>IF(LEFT(tbl_timesheet[[#This Row],[Activity]],1)="5",tbl_timesheet[[#This Row],[Total]],0)</f>
        <v>0</v>
      </c>
      <c r="N102" s="3">
        <f>IF(LEFT(tbl_timesheet[[#This Row],[Activity]],1)="6",tbl_timesheet[[#This Row],[Total]],0)</f>
        <v>2</v>
      </c>
    </row>
    <row r="103" spans="1:14" x14ac:dyDescent="0.25">
      <c r="A103" s="2">
        <v>43198</v>
      </c>
      <c r="B103" s="8">
        <v>18261001</v>
      </c>
      <c r="C103" s="1" t="s">
        <v>6</v>
      </c>
      <c r="D103" s="1"/>
      <c r="E103" s="3">
        <v>0</v>
      </c>
      <c r="F103" s="3">
        <v>0</v>
      </c>
      <c r="G103" s="3">
        <v>0</v>
      </c>
      <c r="H103" s="3">
        <v>1</v>
      </c>
      <c r="I103" s="3">
        <v>0</v>
      </c>
      <c r="J103" s="3">
        <v>0</v>
      </c>
      <c r="K103" s="3">
        <v>0</v>
      </c>
      <c r="L103" s="3">
        <v>1</v>
      </c>
      <c r="M103" s="3">
        <f>IF(LEFT(tbl_timesheet[[#This Row],[Activity]],1)="5",tbl_timesheet[[#This Row],[Total]],0)</f>
        <v>0</v>
      </c>
      <c r="N103" s="3">
        <f>IF(LEFT(tbl_timesheet[[#This Row],[Activity]],1)="6",tbl_timesheet[[#This Row],[Total]],0)</f>
        <v>1</v>
      </c>
    </row>
    <row r="104" spans="1:14" x14ac:dyDescent="0.25">
      <c r="A104" s="2">
        <v>43198</v>
      </c>
      <c r="B104" s="8">
        <v>18261001</v>
      </c>
      <c r="C104" s="1" t="s">
        <v>16</v>
      </c>
      <c r="D104" s="1"/>
      <c r="E104" s="3">
        <v>0</v>
      </c>
      <c r="F104" s="3">
        <v>2</v>
      </c>
      <c r="G104" s="3">
        <v>3</v>
      </c>
      <c r="H104" s="3">
        <v>4</v>
      </c>
      <c r="I104" s="3">
        <v>0</v>
      </c>
      <c r="J104" s="3">
        <v>0</v>
      </c>
      <c r="K104" s="3">
        <v>0</v>
      </c>
      <c r="L104" s="3"/>
      <c r="M104" s="3">
        <f>IF(LEFT(tbl_timesheet[[#This Row],[Activity]],1)="5",tbl_timesheet[[#This Row],[Total]],0)</f>
        <v>0</v>
      </c>
      <c r="N104" s="3">
        <f>IF(LEFT(tbl_timesheet[[#This Row],[Activity]],1)="6",tbl_timesheet[[#This Row],[Total]],0)</f>
        <v>0</v>
      </c>
    </row>
    <row r="105" spans="1:14" x14ac:dyDescent="0.25">
      <c r="A105" s="2">
        <v>43191</v>
      </c>
      <c r="B105" s="8">
        <v>17053021</v>
      </c>
      <c r="C105" s="1" t="s">
        <v>5</v>
      </c>
      <c r="D105" s="1"/>
      <c r="E105" s="3">
        <v>0</v>
      </c>
      <c r="F105" s="3">
        <v>5</v>
      </c>
      <c r="G105" s="3">
        <v>2</v>
      </c>
      <c r="H105" s="3">
        <v>1</v>
      </c>
      <c r="I105" s="3">
        <v>0</v>
      </c>
      <c r="J105" s="3">
        <v>0</v>
      </c>
      <c r="K105" s="3">
        <v>0</v>
      </c>
      <c r="L105" s="3">
        <v>8</v>
      </c>
      <c r="M105" s="3">
        <f>IF(LEFT(tbl_timesheet[[#This Row],[Activity]],1)="5",tbl_timesheet[[#This Row],[Total]],0)</f>
        <v>0</v>
      </c>
      <c r="N105" s="3">
        <f>IF(LEFT(tbl_timesheet[[#This Row],[Activity]],1)="6",tbl_timesheet[[#This Row],[Total]],0)</f>
        <v>8</v>
      </c>
    </row>
    <row r="106" spans="1:14" x14ac:dyDescent="0.25">
      <c r="A106" s="2">
        <v>43191</v>
      </c>
      <c r="B106" s="8">
        <v>17106006</v>
      </c>
      <c r="C106" s="1" t="s">
        <v>24</v>
      </c>
      <c r="D106" s="1"/>
      <c r="E106" s="3">
        <v>3</v>
      </c>
      <c r="F106" s="3">
        <v>0</v>
      </c>
      <c r="G106" s="3">
        <v>0</v>
      </c>
      <c r="H106" s="3">
        <v>0</v>
      </c>
      <c r="I106" s="3">
        <v>0</v>
      </c>
      <c r="J106" s="3">
        <v>0</v>
      </c>
      <c r="K106" s="3">
        <v>0</v>
      </c>
      <c r="L106" s="3">
        <v>3</v>
      </c>
      <c r="M106" s="3">
        <f>IF(LEFT(tbl_timesheet[[#This Row],[Activity]],1)="5",tbl_timesheet[[#This Row],[Total]],0)</f>
        <v>0</v>
      </c>
      <c r="N106" s="3">
        <f>IF(LEFT(tbl_timesheet[[#This Row],[Activity]],1)="6",tbl_timesheet[[#This Row],[Total]],0)</f>
        <v>3</v>
      </c>
    </row>
    <row r="107" spans="1:14" x14ac:dyDescent="0.25">
      <c r="A107" s="2">
        <v>43191</v>
      </c>
      <c r="B107" s="8">
        <v>17106006</v>
      </c>
      <c r="C107" s="1" t="s">
        <v>16</v>
      </c>
      <c r="D107" s="1"/>
      <c r="E107" s="3">
        <v>6</v>
      </c>
      <c r="F107" s="3">
        <v>0</v>
      </c>
      <c r="G107" s="3">
        <v>0</v>
      </c>
      <c r="H107" s="3">
        <v>0</v>
      </c>
      <c r="I107" s="3">
        <v>0</v>
      </c>
      <c r="J107" s="3">
        <v>0</v>
      </c>
      <c r="K107" s="3">
        <v>0</v>
      </c>
      <c r="L107" s="3">
        <v>6</v>
      </c>
      <c r="M107" s="3">
        <f>IF(LEFT(tbl_timesheet[[#This Row],[Activity]],1)="5",tbl_timesheet[[#This Row],[Total]],0)</f>
        <v>0</v>
      </c>
      <c r="N107" s="3">
        <f>IF(LEFT(tbl_timesheet[[#This Row],[Activity]],1)="6",tbl_timesheet[[#This Row],[Total]],0)</f>
        <v>6</v>
      </c>
    </row>
    <row r="108" spans="1:14" x14ac:dyDescent="0.25">
      <c r="A108" s="2">
        <v>43191</v>
      </c>
      <c r="B108" s="8">
        <v>18000000</v>
      </c>
      <c r="C108" s="1" t="s">
        <v>45</v>
      </c>
      <c r="D108" s="1"/>
      <c r="E108" s="3">
        <v>0</v>
      </c>
      <c r="F108" s="3">
        <v>0</v>
      </c>
      <c r="G108" s="3">
        <v>0</v>
      </c>
      <c r="H108" s="3">
        <v>0</v>
      </c>
      <c r="I108" s="3">
        <v>8</v>
      </c>
      <c r="J108" s="3">
        <v>0</v>
      </c>
      <c r="K108" s="3">
        <v>0</v>
      </c>
      <c r="L108" s="3">
        <v>8</v>
      </c>
      <c r="M108" s="3">
        <f>IF(LEFT(tbl_timesheet[[#This Row],[Activity]],1)="5",tbl_timesheet[[#This Row],[Total]],0)</f>
        <v>0</v>
      </c>
      <c r="N108" s="3">
        <f>IF(LEFT(tbl_timesheet[[#This Row],[Activity]],1)="6",tbl_timesheet[[#This Row],[Total]],0)</f>
        <v>8</v>
      </c>
    </row>
    <row r="109" spans="1:14" x14ac:dyDescent="0.25">
      <c r="A109" s="2">
        <v>43191</v>
      </c>
      <c r="B109" s="8">
        <v>18234003</v>
      </c>
      <c r="C109" s="1" t="s">
        <v>6</v>
      </c>
      <c r="D109" s="1"/>
      <c r="E109" s="3">
        <v>0</v>
      </c>
      <c r="F109" s="3">
        <v>0</v>
      </c>
      <c r="G109" s="3">
        <v>6</v>
      </c>
      <c r="H109" s="3">
        <v>7</v>
      </c>
      <c r="I109" s="3">
        <v>0</v>
      </c>
      <c r="J109" s="3">
        <v>0</v>
      </c>
      <c r="K109" s="3">
        <v>0</v>
      </c>
      <c r="L109" s="3">
        <v>13</v>
      </c>
      <c r="M109" s="3">
        <f>IF(LEFT(tbl_timesheet[[#This Row],[Activity]],1)="5",tbl_timesheet[[#This Row],[Total]],0)</f>
        <v>0</v>
      </c>
      <c r="N109" s="3">
        <f>IF(LEFT(tbl_timesheet[[#This Row],[Activity]],1)="6",tbl_timesheet[[#This Row],[Total]],0)</f>
        <v>13</v>
      </c>
    </row>
    <row r="110" spans="1:14" x14ac:dyDescent="0.25">
      <c r="A110" s="2">
        <v>43191</v>
      </c>
      <c r="B110" s="8">
        <v>18261001</v>
      </c>
      <c r="C110" s="1" t="s">
        <v>16</v>
      </c>
      <c r="D110" s="1"/>
      <c r="E110" s="3">
        <v>0</v>
      </c>
      <c r="F110" s="3">
        <v>3</v>
      </c>
      <c r="G110" s="3">
        <v>0</v>
      </c>
      <c r="H110" s="3">
        <v>0</v>
      </c>
      <c r="I110" s="3">
        <v>0</v>
      </c>
      <c r="J110" s="3">
        <v>0</v>
      </c>
      <c r="K110" s="3">
        <v>0</v>
      </c>
      <c r="L110" s="3">
        <v>3</v>
      </c>
      <c r="M110" s="3">
        <f>IF(LEFT(tbl_timesheet[[#This Row],[Activity]],1)="5",tbl_timesheet[[#This Row],[Total]],0)</f>
        <v>0</v>
      </c>
      <c r="N110" s="3">
        <f>IF(LEFT(tbl_timesheet[[#This Row],[Activity]],1)="6",tbl_timesheet[[#This Row],[Total]],0)</f>
        <v>3</v>
      </c>
    </row>
    <row r="111" spans="1:14" x14ac:dyDescent="0.25">
      <c r="A111" s="2">
        <v>43184</v>
      </c>
      <c r="B111" s="8">
        <v>17053021</v>
      </c>
      <c r="C111" s="1" t="s">
        <v>5</v>
      </c>
      <c r="D111" s="1"/>
      <c r="E111" s="3">
        <v>5</v>
      </c>
      <c r="F111" s="3">
        <v>8</v>
      </c>
      <c r="G111" s="3">
        <v>7</v>
      </c>
      <c r="H111" s="3">
        <v>2</v>
      </c>
      <c r="I111" s="3">
        <v>0</v>
      </c>
      <c r="J111" s="3">
        <v>0</v>
      </c>
      <c r="K111" s="3">
        <v>0</v>
      </c>
      <c r="L111" s="3">
        <v>22</v>
      </c>
      <c r="M111" s="3">
        <f>IF(LEFT(tbl_timesheet[[#This Row],[Activity]],1)="5",tbl_timesheet[[#This Row],[Total]],0)</f>
        <v>0</v>
      </c>
      <c r="N111" s="3">
        <f>IF(LEFT(tbl_timesheet[[#This Row],[Activity]],1)="6",tbl_timesheet[[#This Row],[Total]],0)</f>
        <v>22</v>
      </c>
    </row>
    <row r="112" spans="1:14" x14ac:dyDescent="0.25">
      <c r="A112" s="2">
        <v>43184</v>
      </c>
      <c r="B112" s="8">
        <v>17234021</v>
      </c>
      <c r="C112" s="1" t="s">
        <v>16</v>
      </c>
      <c r="D112" s="1"/>
      <c r="E112" s="3">
        <v>1</v>
      </c>
      <c r="F112" s="3">
        <v>0</v>
      </c>
      <c r="G112" s="3">
        <v>0</v>
      </c>
      <c r="H112" s="3">
        <v>2</v>
      </c>
      <c r="I112" s="3">
        <v>0</v>
      </c>
      <c r="J112" s="3">
        <v>0</v>
      </c>
      <c r="K112" s="3">
        <v>0</v>
      </c>
      <c r="L112" s="3">
        <v>3</v>
      </c>
      <c r="M112" s="3">
        <f>IF(LEFT(tbl_timesheet[[#This Row],[Activity]],1)="5",tbl_timesheet[[#This Row],[Total]],0)</f>
        <v>0</v>
      </c>
      <c r="N112" s="3">
        <f>IF(LEFT(tbl_timesheet[[#This Row],[Activity]],1)="6",tbl_timesheet[[#This Row],[Total]],0)</f>
        <v>3</v>
      </c>
    </row>
    <row r="113" spans="1:14" x14ac:dyDescent="0.25">
      <c r="A113" s="2">
        <v>43184</v>
      </c>
      <c r="B113" s="8">
        <v>17261121</v>
      </c>
      <c r="C113" s="1" t="s">
        <v>16</v>
      </c>
      <c r="D113" s="1"/>
      <c r="E113" s="3">
        <v>0</v>
      </c>
      <c r="F113" s="3">
        <v>2</v>
      </c>
      <c r="G113" s="3">
        <v>0</v>
      </c>
      <c r="H113" s="3">
        <v>0</v>
      </c>
      <c r="I113" s="3">
        <v>0</v>
      </c>
      <c r="J113" s="3">
        <v>0</v>
      </c>
      <c r="K113" s="3">
        <v>0</v>
      </c>
      <c r="L113" s="3">
        <v>2</v>
      </c>
      <c r="M113" s="3">
        <f>IF(LEFT(tbl_timesheet[[#This Row],[Activity]],1)="5",tbl_timesheet[[#This Row],[Total]],0)</f>
        <v>0</v>
      </c>
      <c r="N113" s="3">
        <f>IF(LEFT(tbl_timesheet[[#This Row],[Activity]],1)="6",tbl_timesheet[[#This Row],[Total]],0)</f>
        <v>2</v>
      </c>
    </row>
    <row r="114" spans="1:14" x14ac:dyDescent="0.25">
      <c r="A114" s="2">
        <v>43184</v>
      </c>
      <c r="B114" s="8">
        <v>17261121</v>
      </c>
      <c r="C114" s="1" t="s">
        <v>24</v>
      </c>
      <c r="D114" s="1"/>
      <c r="E114" s="3">
        <v>1</v>
      </c>
      <c r="F114" s="3">
        <v>0</v>
      </c>
      <c r="G114" s="3">
        <v>0</v>
      </c>
      <c r="H114" s="3">
        <v>0</v>
      </c>
      <c r="I114" s="3">
        <v>0</v>
      </c>
      <c r="J114" s="3">
        <v>0</v>
      </c>
      <c r="K114" s="3">
        <v>0</v>
      </c>
      <c r="L114" s="3">
        <v>1</v>
      </c>
      <c r="M114" s="3">
        <f>IF(LEFT(tbl_timesheet[[#This Row],[Activity]],1)="5",tbl_timesheet[[#This Row],[Total]],0)</f>
        <v>0</v>
      </c>
      <c r="N114" s="3">
        <f>IF(LEFT(tbl_timesheet[[#This Row],[Activity]],1)="6",tbl_timesheet[[#This Row],[Total]],0)</f>
        <v>1</v>
      </c>
    </row>
    <row r="115" spans="1:14" x14ac:dyDescent="0.25">
      <c r="A115" s="2">
        <v>43184</v>
      </c>
      <c r="B115" s="8">
        <v>18234001</v>
      </c>
      <c r="C115" s="1" t="s">
        <v>16</v>
      </c>
      <c r="D115" s="1"/>
      <c r="E115" s="3">
        <v>1</v>
      </c>
      <c r="F115" s="3">
        <v>0</v>
      </c>
      <c r="G115" s="3">
        <v>1</v>
      </c>
      <c r="H115" s="3">
        <v>3</v>
      </c>
      <c r="I115" s="3">
        <v>0</v>
      </c>
      <c r="J115" s="3">
        <v>0</v>
      </c>
      <c r="K115" s="3">
        <v>0</v>
      </c>
      <c r="L115" s="3">
        <v>5</v>
      </c>
      <c r="M115" s="3">
        <f>IF(LEFT(tbl_timesheet[[#This Row],[Activity]],1)="5",tbl_timesheet[[#This Row],[Total]],0)</f>
        <v>0</v>
      </c>
      <c r="N115" s="3">
        <f>IF(LEFT(tbl_timesheet[[#This Row],[Activity]],1)="6",tbl_timesheet[[#This Row],[Total]],0)</f>
        <v>5</v>
      </c>
    </row>
    <row r="116" spans="1:14" x14ac:dyDescent="0.25">
      <c r="A116" s="2">
        <v>43184</v>
      </c>
      <c r="B116" s="8">
        <v>18234003</v>
      </c>
      <c r="C116" s="1" t="s">
        <v>16</v>
      </c>
      <c r="D116" s="1"/>
      <c r="E116" s="3">
        <v>1</v>
      </c>
      <c r="F116" s="3">
        <v>0</v>
      </c>
      <c r="G116" s="3">
        <v>1</v>
      </c>
      <c r="H116" s="3">
        <v>3</v>
      </c>
      <c r="I116" s="3">
        <v>0</v>
      </c>
      <c r="J116" s="3">
        <v>0</v>
      </c>
      <c r="K116" s="3">
        <v>0</v>
      </c>
      <c r="L116" s="3">
        <v>5</v>
      </c>
      <c r="M116" s="3">
        <f>IF(LEFT(tbl_timesheet[[#This Row],[Activity]],1)="5",tbl_timesheet[[#This Row],[Total]],0)</f>
        <v>0</v>
      </c>
      <c r="N116" s="3">
        <f>IF(LEFT(tbl_timesheet[[#This Row],[Activity]],1)="6",tbl_timesheet[[#This Row],[Total]],0)</f>
        <v>5</v>
      </c>
    </row>
    <row r="117" spans="1:14" x14ac:dyDescent="0.25">
      <c r="A117" s="2">
        <v>43184</v>
      </c>
      <c r="B117" s="8">
        <v>18261001</v>
      </c>
      <c r="C117" s="1" t="s">
        <v>24</v>
      </c>
      <c r="D117" s="1"/>
      <c r="E117" s="3">
        <v>1</v>
      </c>
      <c r="F117" s="3">
        <v>0</v>
      </c>
      <c r="G117" s="3">
        <v>1</v>
      </c>
      <c r="H117" s="3">
        <v>0</v>
      </c>
      <c r="I117" s="3">
        <v>0</v>
      </c>
      <c r="J117" s="3">
        <v>0</v>
      </c>
      <c r="K117" s="3">
        <v>0</v>
      </c>
      <c r="L117" s="3">
        <v>2</v>
      </c>
      <c r="M117" s="3">
        <f>IF(LEFT(tbl_timesheet[[#This Row],[Activity]],1)="5",tbl_timesheet[[#This Row],[Total]],0)</f>
        <v>0</v>
      </c>
      <c r="N117" s="3">
        <f>IF(LEFT(tbl_timesheet[[#This Row],[Activity]],1)="6",tbl_timesheet[[#This Row],[Total]],0)</f>
        <v>2</v>
      </c>
    </row>
    <row r="118" spans="1:14" x14ac:dyDescent="0.25">
      <c r="A118" s="2">
        <v>43177</v>
      </c>
      <c r="B118" s="8">
        <v>17053021</v>
      </c>
      <c r="C118" s="1" t="s">
        <v>16</v>
      </c>
      <c r="D118" s="1"/>
      <c r="E118" s="3">
        <v>0</v>
      </c>
      <c r="F118" s="3">
        <v>0</v>
      </c>
      <c r="G118" s="3">
        <v>0</v>
      </c>
      <c r="H118" s="3">
        <v>0</v>
      </c>
      <c r="I118" s="3">
        <v>2</v>
      </c>
      <c r="J118" s="3">
        <v>0</v>
      </c>
      <c r="K118" s="3">
        <v>0</v>
      </c>
      <c r="L118" s="3">
        <v>2</v>
      </c>
      <c r="M118" s="3">
        <f>IF(LEFT(tbl_timesheet[[#This Row],[Activity]],1)="5",tbl_timesheet[[#This Row],[Total]],0)</f>
        <v>0</v>
      </c>
      <c r="N118" s="3">
        <f>IF(LEFT(tbl_timesheet[[#This Row],[Activity]],1)="6",tbl_timesheet[[#This Row],[Total]],0)</f>
        <v>2</v>
      </c>
    </row>
    <row r="119" spans="1:14" x14ac:dyDescent="0.25">
      <c r="A119" s="2">
        <v>43177</v>
      </c>
      <c r="B119" s="8">
        <v>17234021</v>
      </c>
      <c r="C119" s="1" t="s">
        <v>16</v>
      </c>
      <c r="D119" s="1"/>
      <c r="E119" s="3">
        <v>0</v>
      </c>
      <c r="F119" s="3">
        <v>0</v>
      </c>
      <c r="G119" s="3">
        <v>0</v>
      </c>
      <c r="H119" s="3">
        <v>0</v>
      </c>
      <c r="I119" s="3">
        <v>2</v>
      </c>
      <c r="J119" s="3">
        <v>0</v>
      </c>
      <c r="K119" s="3">
        <v>0</v>
      </c>
      <c r="L119" s="3">
        <v>2</v>
      </c>
      <c r="M119" s="3">
        <f>IF(LEFT(tbl_timesheet[[#This Row],[Activity]],1)="5",tbl_timesheet[[#This Row],[Total]],0)</f>
        <v>0</v>
      </c>
      <c r="N119" s="3">
        <f>IF(LEFT(tbl_timesheet[[#This Row],[Activity]],1)="6",tbl_timesheet[[#This Row],[Total]],0)</f>
        <v>2</v>
      </c>
    </row>
    <row r="120" spans="1:14" x14ac:dyDescent="0.25">
      <c r="A120" s="2">
        <v>43177</v>
      </c>
      <c r="B120" s="8">
        <v>18234001</v>
      </c>
      <c r="C120" s="1" t="s">
        <v>16</v>
      </c>
      <c r="D120" s="1"/>
      <c r="E120" s="3">
        <v>0</v>
      </c>
      <c r="F120" s="3">
        <v>0</v>
      </c>
      <c r="G120" s="3">
        <v>0</v>
      </c>
      <c r="H120" s="3">
        <v>0</v>
      </c>
      <c r="I120" s="3">
        <v>1</v>
      </c>
      <c r="J120" s="3">
        <v>0</v>
      </c>
      <c r="K120" s="3">
        <v>0</v>
      </c>
      <c r="L120" s="3">
        <v>1</v>
      </c>
      <c r="M120" s="3">
        <f>IF(LEFT(tbl_timesheet[[#This Row],[Activity]],1)="5",tbl_timesheet[[#This Row],[Total]],0)</f>
        <v>0</v>
      </c>
      <c r="N120" s="3">
        <f>IF(LEFT(tbl_timesheet[[#This Row],[Activity]],1)="6",tbl_timesheet[[#This Row],[Total]],0)</f>
        <v>1</v>
      </c>
    </row>
    <row r="121" spans="1:14" x14ac:dyDescent="0.25">
      <c r="A121" s="2">
        <v>43177</v>
      </c>
      <c r="B121" s="8">
        <v>18234003</v>
      </c>
      <c r="C121" s="1" t="s">
        <v>16</v>
      </c>
      <c r="D121" s="1"/>
      <c r="E121" s="3">
        <v>0</v>
      </c>
      <c r="F121" s="3">
        <v>0</v>
      </c>
      <c r="G121" s="3">
        <v>0</v>
      </c>
      <c r="H121" s="3">
        <v>0</v>
      </c>
      <c r="I121" s="3">
        <v>1</v>
      </c>
      <c r="J121" s="3">
        <v>0</v>
      </c>
      <c r="K121" s="3">
        <v>0</v>
      </c>
      <c r="L121" s="3">
        <v>1</v>
      </c>
      <c r="M121" s="3">
        <f>IF(LEFT(tbl_timesheet[[#This Row],[Activity]],1)="5",tbl_timesheet[[#This Row],[Total]],0)</f>
        <v>0</v>
      </c>
      <c r="N121" s="3">
        <f>IF(LEFT(tbl_timesheet[[#This Row],[Activity]],1)="6",tbl_timesheet[[#This Row],[Total]],0)</f>
        <v>1</v>
      </c>
    </row>
    <row r="122" spans="1:14" x14ac:dyDescent="0.25">
      <c r="A122" s="2">
        <v>43170</v>
      </c>
      <c r="B122" s="8">
        <v>17053021</v>
      </c>
      <c r="C122" s="1" t="s">
        <v>24</v>
      </c>
      <c r="D122" s="1"/>
      <c r="E122" s="3">
        <v>5</v>
      </c>
      <c r="F122" s="3">
        <v>2</v>
      </c>
      <c r="G122" s="3">
        <v>0</v>
      </c>
      <c r="H122" s="3">
        <v>0</v>
      </c>
      <c r="I122" s="3">
        <v>1</v>
      </c>
      <c r="J122" s="3">
        <v>0</v>
      </c>
      <c r="K122" s="3">
        <v>0</v>
      </c>
      <c r="L122" s="3">
        <v>8</v>
      </c>
      <c r="M122" s="3">
        <f>IF(LEFT(tbl_timesheet[[#This Row],[Activity]],1)="5",tbl_timesheet[[#This Row],[Total]],0)</f>
        <v>0</v>
      </c>
      <c r="N122" s="3">
        <f>IF(LEFT(tbl_timesheet[[#This Row],[Activity]],1)="6",tbl_timesheet[[#This Row],[Total]],0)</f>
        <v>8</v>
      </c>
    </row>
    <row r="123" spans="1:14" x14ac:dyDescent="0.25">
      <c r="A123" s="2">
        <v>43170</v>
      </c>
      <c r="B123" s="8">
        <v>17234021</v>
      </c>
      <c r="C123" s="1" t="s">
        <v>16</v>
      </c>
      <c r="D123" s="1"/>
      <c r="E123" s="3">
        <v>2</v>
      </c>
      <c r="F123" s="3">
        <v>2</v>
      </c>
      <c r="G123" s="3">
        <v>3.5</v>
      </c>
      <c r="H123" s="3">
        <v>3</v>
      </c>
      <c r="I123" s="3">
        <v>3</v>
      </c>
      <c r="J123" s="3">
        <v>0</v>
      </c>
      <c r="K123" s="3">
        <v>0</v>
      </c>
      <c r="L123" s="3">
        <v>13.5</v>
      </c>
      <c r="M123" s="3">
        <f>IF(LEFT(tbl_timesheet[[#This Row],[Activity]],1)="5",tbl_timesheet[[#This Row],[Total]],0)</f>
        <v>0</v>
      </c>
      <c r="N123" s="3">
        <f>IF(LEFT(tbl_timesheet[[#This Row],[Activity]],1)="6",tbl_timesheet[[#This Row],[Total]],0)</f>
        <v>13.5</v>
      </c>
    </row>
    <row r="124" spans="1:14" x14ac:dyDescent="0.25">
      <c r="A124" s="2">
        <v>43170</v>
      </c>
      <c r="B124" s="8">
        <v>17261121</v>
      </c>
      <c r="C124" s="1" t="s">
        <v>16</v>
      </c>
      <c r="D124" s="1"/>
      <c r="E124" s="3">
        <v>0</v>
      </c>
      <c r="F124" s="3">
        <v>0</v>
      </c>
      <c r="G124" s="3">
        <v>2</v>
      </c>
      <c r="H124" s="3">
        <v>0</v>
      </c>
      <c r="I124" s="3">
        <v>0</v>
      </c>
      <c r="J124" s="3">
        <v>0</v>
      </c>
      <c r="K124" s="3">
        <v>0</v>
      </c>
      <c r="L124" s="3">
        <v>2</v>
      </c>
      <c r="M124" s="3">
        <f>IF(LEFT(tbl_timesheet[[#This Row],[Activity]],1)="5",tbl_timesheet[[#This Row],[Total]],0)</f>
        <v>0</v>
      </c>
      <c r="N124" s="3">
        <f>IF(LEFT(tbl_timesheet[[#This Row],[Activity]],1)="6",tbl_timesheet[[#This Row],[Total]],0)</f>
        <v>2</v>
      </c>
    </row>
    <row r="125" spans="1:14" x14ac:dyDescent="0.25">
      <c r="A125" s="2">
        <v>43170</v>
      </c>
      <c r="B125" s="8">
        <v>18234001</v>
      </c>
      <c r="C125" s="1" t="s">
        <v>16</v>
      </c>
      <c r="D125" s="1"/>
      <c r="E125" s="3">
        <v>1</v>
      </c>
      <c r="F125" s="3">
        <v>2</v>
      </c>
      <c r="G125" s="3">
        <v>3.5</v>
      </c>
      <c r="H125" s="3">
        <v>3.5</v>
      </c>
      <c r="I125" s="3">
        <v>2</v>
      </c>
      <c r="J125" s="3">
        <v>0</v>
      </c>
      <c r="K125" s="3">
        <v>0</v>
      </c>
      <c r="L125" s="3">
        <v>12</v>
      </c>
      <c r="M125" s="3">
        <f>IF(LEFT(tbl_timesheet[[#This Row],[Activity]],1)="5",tbl_timesheet[[#This Row],[Total]],0)</f>
        <v>0</v>
      </c>
      <c r="N125" s="3">
        <f>IF(LEFT(tbl_timesheet[[#This Row],[Activity]],1)="6",tbl_timesheet[[#This Row],[Total]],0)</f>
        <v>12</v>
      </c>
    </row>
    <row r="126" spans="1:14" x14ac:dyDescent="0.25">
      <c r="A126" s="2">
        <v>43170</v>
      </c>
      <c r="B126" s="8">
        <v>18234003</v>
      </c>
      <c r="C126" s="1" t="s">
        <v>16</v>
      </c>
      <c r="D126" s="1"/>
      <c r="E126" s="3">
        <v>1</v>
      </c>
      <c r="F126" s="3">
        <v>2</v>
      </c>
      <c r="G126" s="3">
        <v>3.5</v>
      </c>
      <c r="H126" s="3">
        <v>3.5</v>
      </c>
      <c r="I126" s="3">
        <v>2</v>
      </c>
      <c r="J126" s="3">
        <v>0</v>
      </c>
      <c r="K126" s="3">
        <v>0</v>
      </c>
      <c r="L126" s="3">
        <v>12</v>
      </c>
      <c r="M126" s="3">
        <f>IF(LEFT(tbl_timesheet[[#This Row],[Activity]],1)="5",tbl_timesheet[[#This Row],[Total]],0)</f>
        <v>0</v>
      </c>
      <c r="N126" s="3">
        <f>IF(LEFT(tbl_timesheet[[#This Row],[Activity]],1)="6",tbl_timesheet[[#This Row],[Total]],0)</f>
        <v>12</v>
      </c>
    </row>
    <row r="127" spans="1:14" x14ac:dyDescent="0.25">
      <c r="A127" s="2">
        <v>43170</v>
      </c>
      <c r="B127" s="8">
        <v>18261001</v>
      </c>
      <c r="C127" s="1" t="s">
        <v>16</v>
      </c>
      <c r="D127" s="1"/>
      <c r="E127" s="3">
        <v>1</v>
      </c>
      <c r="F127" s="3">
        <v>0</v>
      </c>
      <c r="G127" s="3">
        <v>0</v>
      </c>
      <c r="H127" s="3">
        <v>0</v>
      </c>
      <c r="I127" s="3">
        <v>0</v>
      </c>
      <c r="J127" s="3">
        <v>0</v>
      </c>
      <c r="K127" s="3">
        <v>0</v>
      </c>
      <c r="L127" s="3">
        <v>1</v>
      </c>
      <c r="M127" s="3">
        <f>IF(LEFT(tbl_timesheet[[#This Row],[Activity]],1)="5",tbl_timesheet[[#This Row],[Total]],0)</f>
        <v>0</v>
      </c>
      <c r="N127" s="3">
        <f>IF(LEFT(tbl_timesheet[[#This Row],[Activity]],1)="6",tbl_timesheet[[#This Row],[Total]],0)</f>
        <v>1</v>
      </c>
    </row>
    <row r="128" spans="1:14" x14ac:dyDescent="0.25">
      <c r="A128" s="2">
        <v>43170</v>
      </c>
      <c r="B128" s="8">
        <v>18261014</v>
      </c>
      <c r="C128" s="1" t="s">
        <v>16</v>
      </c>
      <c r="D128" s="1"/>
      <c r="E128" s="3">
        <v>1</v>
      </c>
      <c r="F128" s="3">
        <v>2</v>
      </c>
      <c r="G128" s="3">
        <v>0</v>
      </c>
      <c r="H128" s="3">
        <v>0</v>
      </c>
      <c r="I128" s="3">
        <v>0</v>
      </c>
      <c r="J128" s="3">
        <v>0</v>
      </c>
      <c r="K128" s="3">
        <v>0</v>
      </c>
      <c r="L128" s="3">
        <v>3</v>
      </c>
      <c r="M128" s="3">
        <f>IF(LEFT(tbl_timesheet[[#This Row],[Activity]],1)="5",tbl_timesheet[[#This Row],[Total]],0)</f>
        <v>0</v>
      </c>
      <c r="N128" s="3">
        <f>IF(LEFT(tbl_timesheet[[#This Row],[Activity]],1)="6",tbl_timesheet[[#This Row],[Total]],0)</f>
        <v>3</v>
      </c>
    </row>
    <row r="129" spans="1:14" x14ac:dyDescent="0.25">
      <c r="A129" s="2">
        <v>43163</v>
      </c>
      <c r="B129" s="8">
        <v>17053021</v>
      </c>
      <c r="C129" s="1" t="s">
        <v>6</v>
      </c>
      <c r="D129" s="1"/>
      <c r="E129" s="3">
        <v>0</v>
      </c>
      <c r="F129" s="3">
        <v>2</v>
      </c>
      <c r="G129" s="3">
        <v>0</v>
      </c>
      <c r="H129" s="3">
        <v>0</v>
      </c>
      <c r="I129" s="3">
        <v>2</v>
      </c>
      <c r="J129" s="3">
        <v>0</v>
      </c>
      <c r="K129" s="3">
        <v>0</v>
      </c>
      <c r="L129" s="3">
        <v>4</v>
      </c>
      <c r="M129" s="3">
        <f>IF(LEFT(tbl_timesheet[[#This Row],[Activity]],1)="5",tbl_timesheet[[#This Row],[Total]],0)</f>
        <v>0</v>
      </c>
      <c r="N129" s="3">
        <f>IF(LEFT(tbl_timesheet[[#This Row],[Activity]],1)="6",tbl_timesheet[[#This Row],[Total]],0)</f>
        <v>4</v>
      </c>
    </row>
    <row r="130" spans="1:14" x14ac:dyDescent="0.25">
      <c r="A130" s="2">
        <v>43163</v>
      </c>
      <c r="B130" s="8">
        <v>17053021</v>
      </c>
      <c r="C130" s="1" t="s">
        <v>47</v>
      </c>
      <c r="D130" s="1"/>
      <c r="E130" s="3">
        <v>0</v>
      </c>
      <c r="F130" s="3">
        <v>2</v>
      </c>
      <c r="G130" s="3">
        <v>0</v>
      </c>
      <c r="H130" s="3">
        <v>0</v>
      </c>
      <c r="I130" s="3">
        <v>0</v>
      </c>
      <c r="J130" s="3">
        <v>0</v>
      </c>
      <c r="K130" s="3">
        <v>0</v>
      </c>
      <c r="L130" s="3">
        <v>2</v>
      </c>
      <c r="M130" s="3">
        <f>IF(LEFT(tbl_timesheet[[#This Row],[Activity]],1)="5",tbl_timesheet[[#This Row],[Total]],0)</f>
        <v>0</v>
      </c>
      <c r="N130" s="3">
        <f>IF(LEFT(tbl_timesheet[[#This Row],[Activity]],1)="6",tbl_timesheet[[#This Row],[Total]],0)</f>
        <v>2</v>
      </c>
    </row>
    <row r="131" spans="1:14" x14ac:dyDescent="0.25">
      <c r="A131" s="2">
        <v>43163</v>
      </c>
      <c r="B131" s="8">
        <v>17234021</v>
      </c>
      <c r="C131" s="1" t="s">
        <v>16</v>
      </c>
      <c r="D131" s="1"/>
      <c r="E131" s="3">
        <v>2</v>
      </c>
      <c r="F131" s="3">
        <v>0</v>
      </c>
      <c r="G131" s="3">
        <v>0</v>
      </c>
      <c r="H131" s="3">
        <v>0</v>
      </c>
      <c r="I131" s="3">
        <v>1</v>
      </c>
      <c r="J131" s="3">
        <v>0</v>
      </c>
      <c r="K131" s="3">
        <v>0</v>
      </c>
      <c r="L131" s="3">
        <v>3</v>
      </c>
      <c r="M131" s="3">
        <f>IF(LEFT(tbl_timesheet[[#This Row],[Activity]],1)="5",tbl_timesheet[[#This Row],[Total]],0)</f>
        <v>0</v>
      </c>
      <c r="N131" s="3">
        <f>IF(LEFT(tbl_timesheet[[#This Row],[Activity]],1)="6",tbl_timesheet[[#This Row],[Total]],0)</f>
        <v>3</v>
      </c>
    </row>
    <row r="132" spans="1:14" x14ac:dyDescent="0.25">
      <c r="A132" s="2">
        <v>43163</v>
      </c>
      <c r="B132" s="8">
        <v>17234021</v>
      </c>
      <c r="C132" s="1" t="s">
        <v>28</v>
      </c>
      <c r="D132" s="1"/>
      <c r="E132" s="3">
        <v>0</v>
      </c>
      <c r="F132" s="3">
        <v>0</v>
      </c>
      <c r="G132" s="3">
        <v>3</v>
      </c>
      <c r="H132" s="3">
        <v>0</v>
      </c>
      <c r="I132" s="3">
        <v>0</v>
      </c>
      <c r="J132" s="3">
        <v>0</v>
      </c>
      <c r="K132" s="3">
        <v>0</v>
      </c>
      <c r="L132" s="3">
        <v>3</v>
      </c>
      <c r="M132" s="3">
        <f>IF(LEFT(tbl_timesheet[[#This Row],[Activity]],1)="5",tbl_timesheet[[#This Row],[Total]],0)</f>
        <v>0</v>
      </c>
      <c r="N132" s="3">
        <f>IF(LEFT(tbl_timesheet[[#This Row],[Activity]],1)="6",tbl_timesheet[[#This Row],[Total]],0)</f>
        <v>3</v>
      </c>
    </row>
    <row r="133" spans="1:14" x14ac:dyDescent="0.25">
      <c r="A133" s="2">
        <v>43163</v>
      </c>
      <c r="B133" s="8">
        <v>18234001</v>
      </c>
      <c r="C133" s="1" t="s">
        <v>16</v>
      </c>
      <c r="D133" s="1"/>
      <c r="E133" s="3">
        <v>4</v>
      </c>
      <c r="F133" s="3">
        <v>0</v>
      </c>
      <c r="G133" s="3">
        <v>1</v>
      </c>
      <c r="H133" s="3">
        <v>5</v>
      </c>
      <c r="I133" s="3">
        <v>3</v>
      </c>
      <c r="J133" s="3">
        <v>0</v>
      </c>
      <c r="K133" s="3">
        <v>0</v>
      </c>
      <c r="L133" s="3">
        <v>13</v>
      </c>
      <c r="M133" s="3">
        <f>IF(LEFT(tbl_timesheet[[#This Row],[Activity]],1)="5",tbl_timesheet[[#This Row],[Total]],0)</f>
        <v>0</v>
      </c>
      <c r="N133" s="3">
        <f>IF(LEFT(tbl_timesheet[[#This Row],[Activity]],1)="6",tbl_timesheet[[#This Row],[Total]],0)</f>
        <v>13</v>
      </c>
    </row>
    <row r="134" spans="1:14" x14ac:dyDescent="0.25">
      <c r="A134" s="2">
        <v>43163</v>
      </c>
      <c r="B134" s="8">
        <v>18234003</v>
      </c>
      <c r="C134" s="1" t="s">
        <v>16</v>
      </c>
      <c r="D134" s="1"/>
      <c r="E134" s="3">
        <v>1</v>
      </c>
      <c r="F134" s="3">
        <v>2</v>
      </c>
      <c r="G134" s="3">
        <v>0</v>
      </c>
      <c r="H134" s="3">
        <v>0</v>
      </c>
      <c r="I134" s="3">
        <v>0</v>
      </c>
      <c r="J134" s="3">
        <v>0</v>
      </c>
      <c r="K134" s="3">
        <v>0</v>
      </c>
      <c r="L134" s="3">
        <v>3</v>
      </c>
      <c r="M134" s="3">
        <f>IF(LEFT(tbl_timesheet[[#This Row],[Activity]],1)="5",tbl_timesheet[[#This Row],[Total]],0)</f>
        <v>0</v>
      </c>
      <c r="N134" s="3">
        <f>IF(LEFT(tbl_timesheet[[#This Row],[Activity]],1)="6",tbl_timesheet[[#This Row],[Total]],0)</f>
        <v>3</v>
      </c>
    </row>
    <row r="135" spans="1:14" x14ac:dyDescent="0.25">
      <c r="A135" s="2">
        <v>43163</v>
      </c>
      <c r="B135" s="8">
        <v>18234003</v>
      </c>
      <c r="C135" s="1" t="s">
        <v>28</v>
      </c>
      <c r="D135" s="1"/>
      <c r="E135" s="3">
        <v>0</v>
      </c>
      <c r="F135" s="3">
        <v>2</v>
      </c>
      <c r="G135" s="3">
        <v>1</v>
      </c>
      <c r="H135" s="3">
        <v>3</v>
      </c>
      <c r="I135" s="3">
        <v>1</v>
      </c>
      <c r="J135" s="3">
        <v>0</v>
      </c>
      <c r="K135" s="3">
        <v>0</v>
      </c>
      <c r="L135" s="3">
        <v>7</v>
      </c>
      <c r="M135" s="3">
        <f>IF(LEFT(tbl_timesheet[[#This Row],[Activity]],1)="5",tbl_timesheet[[#This Row],[Total]],0)</f>
        <v>0</v>
      </c>
      <c r="N135" s="3">
        <f>IF(LEFT(tbl_timesheet[[#This Row],[Activity]],1)="6",tbl_timesheet[[#This Row],[Total]],0)</f>
        <v>7</v>
      </c>
    </row>
    <row r="136" spans="1:14" x14ac:dyDescent="0.25">
      <c r="A136" s="2">
        <v>43163</v>
      </c>
      <c r="B136" s="8">
        <v>18261001</v>
      </c>
      <c r="C136" s="1" t="s">
        <v>16</v>
      </c>
      <c r="D136" s="1"/>
      <c r="E136" s="3">
        <v>0</v>
      </c>
      <c r="F136" s="3">
        <v>0</v>
      </c>
      <c r="G136" s="3">
        <v>0</v>
      </c>
      <c r="H136" s="3">
        <v>2</v>
      </c>
      <c r="I136" s="3">
        <v>0</v>
      </c>
      <c r="J136" s="3">
        <v>0</v>
      </c>
      <c r="K136" s="3">
        <v>0</v>
      </c>
      <c r="L136" s="3">
        <v>2</v>
      </c>
      <c r="M136" s="3">
        <f>IF(LEFT(tbl_timesheet[[#This Row],[Activity]],1)="5",tbl_timesheet[[#This Row],[Total]],0)</f>
        <v>0</v>
      </c>
      <c r="N136" s="3">
        <f>IF(LEFT(tbl_timesheet[[#This Row],[Activity]],1)="6",tbl_timesheet[[#This Row],[Total]],0)</f>
        <v>2</v>
      </c>
    </row>
    <row r="137" spans="1:14" x14ac:dyDescent="0.25">
      <c r="A137" s="2">
        <v>43163</v>
      </c>
      <c r="B137" s="8">
        <v>18261013</v>
      </c>
      <c r="C137" s="1" t="s">
        <v>16</v>
      </c>
      <c r="D137" s="1"/>
      <c r="E137" s="3">
        <v>1</v>
      </c>
      <c r="F137" s="3">
        <v>1</v>
      </c>
      <c r="G137" s="3">
        <v>3</v>
      </c>
      <c r="H137" s="3">
        <v>0</v>
      </c>
      <c r="I137" s="3">
        <v>0</v>
      </c>
      <c r="J137" s="3">
        <v>0</v>
      </c>
      <c r="K137" s="3">
        <v>0</v>
      </c>
      <c r="L137" s="3">
        <v>5</v>
      </c>
      <c r="M137" s="3">
        <f>IF(LEFT(tbl_timesheet[[#This Row],[Activity]],1)="5",tbl_timesheet[[#This Row],[Total]],0)</f>
        <v>0</v>
      </c>
      <c r="N137" s="3">
        <f>IF(LEFT(tbl_timesheet[[#This Row],[Activity]],1)="6",tbl_timesheet[[#This Row],[Total]],0)</f>
        <v>5</v>
      </c>
    </row>
    <row r="138" spans="1:14" x14ac:dyDescent="0.25">
      <c r="A138" s="2">
        <v>43163</v>
      </c>
      <c r="B138" s="8">
        <v>18261014</v>
      </c>
      <c r="C138" s="1" t="s">
        <v>16</v>
      </c>
      <c r="D138" s="1"/>
      <c r="E138" s="3">
        <v>2</v>
      </c>
      <c r="F138" s="3">
        <v>1</v>
      </c>
      <c r="G138" s="3">
        <v>0</v>
      </c>
      <c r="H138" s="3">
        <v>0</v>
      </c>
      <c r="I138" s="3">
        <v>3</v>
      </c>
      <c r="J138" s="3">
        <v>0</v>
      </c>
      <c r="K138" s="3">
        <v>0</v>
      </c>
      <c r="L138" s="3">
        <v>6</v>
      </c>
      <c r="M138" s="3">
        <f>IF(LEFT(tbl_timesheet[[#This Row],[Activity]],1)="5",tbl_timesheet[[#This Row],[Total]],0)</f>
        <v>0</v>
      </c>
      <c r="N138" s="3">
        <f>IF(LEFT(tbl_timesheet[[#This Row],[Activity]],1)="6",tbl_timesheet[[#This Row],[Total]],0)</f>
        <v>6</v>
      </c>
    </row>
    <row r="139" spans="1:14" x14ac:dyDescent="0.25">
      <c r="A139" s="2">
        <v>43163</v>
      </c>
      <c r="B139" s="8">
        <v>18261014</v>
      </c>
      <c r="C139" s="1" t="s">
        <v>28</v>
      </c>
      <c r="D139" s="1"/>
      <c r="E139" s="3">
        <v>0</v>
      </c>
      <c r="F139" s="3">
        <v>0</v>
      </c>
      <c r="G139" s="3">
        <v>2</v>
      </c>
      <c r="H139" s="3">
        <v>0</v>
      </c>
      <c r="I139" s="3">
        <v>0</v>
      </c>
      <c r="J139" s="3">
        <v>0</v>
      </c>
      <c r="K139" s="3">
        <v>0</v>
      </c>
      <c r="L139" s="3">
        <v>2</v>
      </c>
      <c r="M139" s="3">
        <f>IF(LEFT(tbl_timesheet[[#This Row],[Activity]],1)="5",tbl_timesheet[[#This Row],[Total]],0)</f>
        <v>0</v>
      </c>
      <c r="N139" s="3">
        <f>IF(LEFT(tbl_timesheet[[#This Row],[Activity]],1)="6",tbl_timesheet[[#This Row],[Total]],0)</f>
        <v>2</v>
      </c>
    </row>
    <row r="140" spans="1:14" x14ac:dyDescent="0.25">
      <c r="A140" s="2">
        <v>43296</v>
      </c>
      <c r="B140" s="8">
        <v>17053021</v>
      </c>
      <c r="C140" s="1" t="s">
        <v>5</v>
      </c>
      <c r="D140" s="1"/>
      <c r="E140" s="3">
        <v>0</v>
      </c>
      <c r="F140" s="3">
        <v>0</v>
      </c>
      <c r="G140" s="3">
        <v>0</v>
      </c>
      <c r="H140" s="3">
        <v>0</v>
      </c>
      <c r="I140" s="3">
        <v>5</v>
      </c>
      <c r="J140" s="3">
        <v>0</v>
      </c>
      <c r="K140" s="3">
        <v>0</v>
      </c>
      <c r="L140" s="3">
        <v>5</v>
      </c>
      <c r="M140" s="8">
        <f>IF(LEFT(tbl_timesheet[[#This Row],[Activity]],1)="5",tbl_timesheet[[#This Row],[Total]],0)</f>
        <v>0</v>
      </c>
      <c r="N140" s="8">
        <f>IF(LEFT(tbl_timesheet[[#This Row],[Activity]],1)="6",tbl_timesheet[[#This Row],[Total]],0)</f>
        <v>5</v>
      </c>
    </row>
    <row r="141" spans="1:14" x14ac:dyDescent="0.25">
      <c r="A141" s="2">
        <v>43296</v>
      </c>
      <c r="B141" s="8">
        <v>17053021</v>
      </c>
      <c r="C141" s="1" t="s">
        <v>30</v>
      </c>
      <c r="D141" s="1"/>
      <c r="E141" s="3">
        <v>0</v>
      </c>
      <c r="F141" s="3">
        <v>0</v>
      </c>
      <c r="G141" s="3">
        <v>0</v>
      </c>
      <c r="H141" s="3">
        <v>0</v>
      </c>
      <c r="I141" s="3">
        <v>3</v>
      </c>
      <c r="J141" s="3">
        <v>0</v>
      </c>
      <c r="K141" s="3">
        <v>0</v>
      </c>
      <c r="L141" s="3">
        <v>3</v>
      </c>
      <c r="M141" s="8">
        <f>IF(LEFT(tbl_timesheet[[#This Row],[Activity]],1)="5",tbl_timesheet[[#This Row],[Total]],0)</f>
        <v>0</v>
      </c>
      <c r="N141" s="8">
        <f>IF(LEFT(tbl_timesheet[[#This Row],[Activity]],1)="6",tbl_timesheet[[#This Row],[Total]],0)</f>
        <v>3</v>
      </c>
    </row>
    <row r="142" spans="1:14" x14ac:dyDescent="0.25">
      <c r="A142" s="2">
        <v>43296</v>
      </c>
      <c r="B142" s="8">
        <v>18234008</v>
      </c>
      <c r="C142" s="1" t="s">
        <v>5</v>
      </c>
      <c r="D142" s="1"/>
      <c r="E142" s="3">
        <v>3</v>
      </c>
      <c r="F142" s="3">
        <v>0</v>
      </c>
      <c r="G142" s="3">
        <v>5</v>
      </c>
      <c r="H142" s="3">
        <v>0</v>
      </c>
      <c r="I142" s="3">
        <v>0</v>
      </c>
      <c r="J142" s="3">
        <v>0</v>
      </c>
      <c r="K142" s="3">
        <v>0</v>
      </c>
      <c r="L142" s="3">
        <v>8</v>
      </c>
      <c r="M142" s="8">
        <f>IF(LEFT(tbl_timesheet[[#This Row],[Activity]],1)="5",tbl_timesheet[[#This Row],[Total]],0)</f>
        <v>0</v>
      </c>
      <c r="N142" s="8">
        <f>IF(LEFT(tbl_timesheet[[#This Row],[Activity]],1)="6",tbl_timesheet[[#This Row],[Total]],0)</f>
        <v>8</v>
      </c>
    </row>
    <row r="143" spans="1:14" x14ac:dyDescent="0.25">
      <c r="A143" s="2">
        <v>43296</v>
      </c>
      <c r="B143" s="8">
        <v>18234008</v>
      </c>
      <c r="C143" s="1" t="s">
        <v>6</v>
      </c>
      <c r="D143" s="1"/>
      <c r="E143" s="3">
        <v>0</v>
      </c>
      <c r="F143" s="3">
        <v>3</v>
      </c>
      <c r="G143" s="3">
        <v>0</v>
      </c>
      <c r="H143" s="3">
        <v>0</v>
      </c>
      <c r="I143" s="3">
        <v>0</v>
      </c>
      <c r="J143" s="3">
        <v>0</v>
      </c>
      <c r="K143" s="3">
        <v>0</v>
      </c>
      <c r="L143" s="3">
        <v>3</v>
      </c>
      <c r="M143" s="8">
        <f>IF(LEFT(tbl_timesheet[[#This Row],[Activity]],1)="5",tbl_timesheet[[#This Row],[Total]],0)</f>
        <v>0</v>
      </c>
      <c r="N143" s="8">
        <f>IF(LEFT(tbl_timesheet[[#This Row],[Activity]],1)="6",tbl_timesheet[[#This Row],[Total]],0)</f>
        <v>3</v>
      </c>
    </row>
    <row r="144" spans="1:14" x14ac:dyDescent="0.25">
      <c r="A144" s="2">
        <v>43296</v>
      </c>
      <c r="B144" s="8">
        <v>18234009</v>
      </c>
      <c r="C144" s="1" t="s">
        <v>5</v>
      </c>
      <c r="D144" s="1"/>
      <c r="E144" s="3">
        <v>0</v>
      </c>
      <c r="F144" s="3">
        <v>0</v>
      </c>
      <c r="G144" s="3">
        <v>5</v>
      </c>
      <c r="H144" s="3">
        <v>0</v>
      </c>
      <c r="I144" s="3">
        <v>0</v>
      </c>
      <c r="J144" s="3">
        <v>0</v>
      </c>
      <c r="K144" s="3">
        <v>0</v>
      </c>
      <c r="L144" s="3">
        <v>5</v>
      </c>
      <c r="M144" s="8">
        <f>IF(LEFT(tbl_timesheet[[#This Row],[Activity]],1)="5",tbl_timesheet[[#This Row],[Total]],0)</f>
        <v>0</v>
      </c>
      <c r="N144" s="8">
        <f>IF(LEFT(tbl_timesheet[[#This Row],[Activity]],1)="6",tbl_timesheet[[#This Row],[Total]],0)</f>
        <v>5</v>
      </c>
    </row>
    <row r="145" spans="1:14" x14ac:dyDescent="0.25">
      <c r="A145" s="2">
        <v>43296</v>
      </c>
      <c r="B145" s="8">
        <v>18234009</v>
      </c>
      <c r="C145" s="1" t="s">
        <v>28</v>
      </c>
      <c r="D145" s="1"/>
      <c r="E145" s="3">
        <v>3</v>
      </c>
      <c r="F145" s="3">
        <v>0</v>
      </c>
      <c r="G145" s="3">
        <v>0</v>
      </c>
      <c r="H145" s="3">
        <v>0</v>
      </c>
      <c r="I145" s="3">
        <v>0</v>
      </c>
      <c r="J145" s="3">
        <v>0</v>
      </c>
      <c r="K145" s="3">
        <v>0</v>
      </c>
      <c r="L145" s="3">
        <v>3</v>
      </c>
      <c r="M145" s="8">
        <f>IF(LEFT(tbl_timesheet[[#This Row],[Activity]],1)="5",tbl_timesheet[[#This Row],[Total]],0)</f>
        <v>0</v>
      </c>
      <c r="N145" s="8">
        <f>IF(LEFT(tbl_timesheet[[#This Row],[Activity]],1)="6",tbl_timesheet[[#This Row],[Total]],0)</f>
        <v>3</v>
      </c>
    </row>
    <row r="146" spans="1:14" x14ac:dyDescent="0.25">
      <c r="A146" s="2">
        <v>43296</v>
      </c>
      <c r="B146" s="8">
        <v>18234009</v>
      </c>
      <c r="C146" s="1" t="s">
        <v>6</v>
      </c>
      <c r="D146" s="1"/>
      <c r="E146" s="3">
        <v>0</v>
      </c>
      <c r="F146" s="3">
        <v>3</v>
      </c>
      <c r="G146" s="3">
        <v>0</v>
      </c>
      <c r="H146" s="3">
        <v>0</v>
      </c>
      <c r="I146" s="3">
        <v>0</v>
      </c>
      <c r="J146" s="3">
        <v>0</v>
      </c>
      <c r="K146" s="3">
        <v>0</v>
      </c>
      <c r="L146" s="3">
        <v>3</v>
      </c>
      <c r="M146" s="8">
        <f>IF(LEFT(tbl_timesheet[[#This Row],[Activity]],1)="5",tbl_timesheet[[#This Row],[Total]],0)</f>
        <v>0</v>
      </c>
      <c r="N146" s="8">
        <f>IF(LEFT(tbl_timesheet[[#This Row],[Activity]],1)="6",tbl_timesheet[[#This Row],[Total]],0)</f>
        <v>3</v>
      </c>
    </row>
    <row r="147" spans="1:14" x14ac:dyDescent="0.25">
      <c r="A147" s="2">
        <v>43296</v>
      </c>
      <c r="B147" s="8">
        <v>18234011</v>
      </c>
      <c r="C147" s="1" t="s">
        <v>28</v>
      </c>
      <c r="D147" s="1"/>
      <c r="E147" s="3">
        <v>2</v>
      </c>
      <c r="F147" s="3">
        <v>0</v>
      </c>
      <c r="G147" s="3">
        <v>0</v>
      </c>
      <c r="H147" s="3">
        <v>0</v>
      </c>
      <c r="I147" s="3">
        <v>0</v>
      </c>
      <c r="J147" s="3">
        <v>0</v>
      </c>
      <c r="K147" s="3">
        <v>0</v>
      </c>
      <c r="L147" s="3">
        <v>2</v>
      </c>
      <c r="M147" s="8">
        <f>IF(LEFT(tbl_timesheet[[#This Row],[Activity]],1)="5",tbl_timesheet[[#This Row],[Total]],0)</f>
        <v>0</v>
      </c>
      <c r="N147" s="8">
        <f>IF(LEFT(tbl_timesheet[[#This Row],[Activity]],1)="6",tbl_timesheet[[#This Row],[Total]],0)</f>
        <v>2</v>
      </c>
    </row>
    <row r="148" spans="1:14" x14ac:dyDescent="0.25">
      <c r="A148" s="2">
        <v>43296</v>
      </c>
      <c r="B148" s="8">
        <v>18234011</v>
      </c>
      <c r="C148" s="1" t="s">
        <v>5</v>
      </c>
      <c r="D148" s="1"/>
      <c r="E148" s="3">
        <v>0</v>
      </c>
      <c r="F148" s="3">
        <v>0</v>
      </c>
      <c r="G148" s="3">
        <v>0</v>
      </c>
      <c r="H148" s="3">
        <v>5</v>
      </c>
      <c r="I148" s="3">
        <v>0</v>
      </c>
      <c r="J148" s="3">
        <v>0</v>
      </c>
      <c r="K148" s="3">
        <v>0</v>
      </c>
      <c r="L148" s="3">
        <v>5</v>
      </c>
      <c r="M148" s="8">
        <f>IF(LEFT(tbl_timesheet[[#This Row],[Activity]],1)="5",tbl_timesheet[[#This Row],[Total]],0)</f>
        <v>0</v>
      </c>
      <c r="N148" s="8">
        <f>IF(LEFT(tbl_timesheet[[#This Row],[Activity]],1)="6",tbl_timesheet[[#This Row],[Total]],0)</f>
        <v>5</v>
      </c>
    </row>
    <row r="149" spans="1:14" x14ac:dyDescent="0.25">
      <c r="A149" s="2">
        <v>43296</v>
      </c>
      <c r="B149" s="8">
        <v>18234011</v>
      </c>
      <c r="C149" s="1" t="s">
        <v>6</v>
      </c>
      <c r="D149" s="1"/>
      <c r="E149" s="3">
        <v>0</v>
      </c>
      <c r="F149" s="3">
        <v>3</v>
      </c>
      <c r="G149" s="3">
        <v>0</v>
      </c>
      <c r="H149" s="3">
        <v>0</v>
      </c>
      <c r="I149" s="3">
        <v>0</v>
      </c>
      <c r="J149" s="3">
        <v>0</v>
      </c>
      <c r="K149" s="3">
        <v>0</v>
      </c>
      <c r="L149" s="3">
        <v>3</v>
      </c>
      <c r="M149" s="8">
        <f>IF(LEFT(tbl_timesheet[[#This Row],[Activity]],1)="5",tbl_timesheet[[#This Row],[Total]],0)</f>
        <v>0</v>
      </c>
      <c r="N149" s="8">
        <f>IF(LEFT(tbl_timesheet[[#This Row],[Activity]],1)="6",tbl_timesheet[[#This Row],[Total]],0)</f>
        <v>3</v>
      </c>
    </row>
    <row r="150" spans="1:14" x14ac:dyDescent="0.25">
      <c r="A150" s="2">
        <v>43296</v>
      </c>
      <c r="B150" s="8">
        <v>18234012</v>
      </c>
      <c r="C150" s="1" t="s">
        <v>6</v>
      </c>
      <c r="D150" s="1"/>
      <c r="E150" s="3">
        <v>0</v>
      </c>
      <c r="F150" s="3">
        <v>3</v>
      </c>
      <c r="G150" s="3">
        <v>0</v>
      </c>
      <c r="H150" s="3">
        <v>0</v>
      </c>
      <c r="I150" s="3">
        <v>0</v>
      </c>
      <c r="J150" s="3">
        <v>0</v>
      </c>
      <c r="K150" s="3">
        <v>0</v>
      </c>
      <c r="L150" s="3">
        <v>3</v>
      </c>
      <c r="M150" s="8">
        <f>IF(LEFT(tbl_timesheet[[#This Row],[Activity]],1)="5",tbl_timesheet[[#This Row],[Total]],0)</f>
        <v>0</v>
      </c>
      <c r="N150" s="8">
        <f>IF(LEFT(tbl_timesheet[[#This Row],[Activity]],1)="6",tbl_timesheet[[#This Row],[Total]],0)</f>
        <v>3</v>
      </c>
    </row>
    <row r="151" spans="1:14" x14ac:dyDescent="0.25">
      <c r="A151" s="2">
        <v>43296</v>
      </c>
      <c r="B151" s="8">
        <v>18234012</v>
      </c>
      <c r="C151" s="1" t="s">
        <v>5</v>
      </c>
      <c r="D151" s="1"/>
      <c r="E151" s="3">
        <v>0</v>
      </c>
      <c r="F151" s="3">
        <v>0</v>
      </c>
      <c r="G151" s="3">
        <v>0</v>
      </c>
      <c r="H151" s="3">
        <v>5</v>
      </c>
      <c r="I151" s="3">
        <v>0</v>
      </c>
      <c r="J151" s="3">
        <v>0</v>
      </c>
      <c r="K151" s="3">
        <v>0</v>
      </c>
      <c r="L151" s="3">
        <v>5</v>
      </c>
      <c r="M151" s="8">
        <f>IF(LEFT(tbl_timesheet[[#This Row],[Activity]],1)="5",tbl_timesheet[[#This Row],[Total]],0)</f>
        <v>0</v>
      </c>
      <c r="N151" s="8">
        <f>IF(LEFT(tbl_timesheet[[#This Row],[Activity]],1)="6",tbl_timesheet[[#This Row],[Total]],0)</f>
        <v>5</v>
      </c>
    </row>
    <row r="152" spans="1:14" x14ac:dyDescent="0.25">
      <c r="A152" s="2">
        <v>43296</v>
      </c>
      <c r="B152" s="8">
        <v>18234012</v>
      </c>
      <c r="C152" s="1" t="s">
        <v>28</v>
      </c>
      <c r="D152" s="1"/>
      <c r="E152" s="3">
        <v>2</v>
      </c>
      <c r="F152" s="3">
        <v>0</v>
      </c>
      <c r="G152" s="3">
        <v>0</v>
      </c>
      <c r="H152" s="3">
        <v>0</v>
      </c>
      <c r="I152" s="3">
        <v>0</v>
      </c>
      <c r="J152" s="3">
        <v>0</v>
      </c>
      <c r="K152" s="3">
        <v>0</v>
      </c>
      <c r="L152" s="3">
        <v>2</v>
      </c>
      <c r="M152" s="8">
        <f>IF(LEFT(tbl_timesheet[[#This Row],[Activity]],1)="5",tbl_timesheet[[#This Row],[Total]],0)</f>
        <v>0</v>
      </c>
      <c r="N152" s="8">
        <f>IF(LEFT(tbl_timesheet[[#This Row],[Activity]],1)="6",tbl_timesheet[[#This Row],[Total]],0)</f>
        <v>2</v>
      </c>
    </row>
    <row r="153" spans="1:14" x14ac:dyDescent="0.25">
      <c r="A153" s="2">
        <v>43303</v>
      </c>
      <c r="B153" s="8">
        <v>17053021</v>
      </c>
      <c r="C153" s="1" t="s">
        <v>5</v>
      </c>
      <c r="D153" s="1"/>
      <c r="E153" s="3">
        <v>5</v>
      </c>
      <c r="F153" s="3">
        <v>0</v>
      </c>
      <c r="G153" s="3">
        <v>0</v>
      </c>
      <c r="H153" s="3">
        <v>0</v>
      </c>
      <c r="I153" s="3">
        <v>0</v>
      </c>
      <c r="J153" s="3">
        <v>0</v>
      </c>
      <c r="K153" s="3">
        <v>0</v>
      </c>
      <c r="L153" s="3">
        <v>5</v>
      </c>
      <c r="M153" s="8">
        <f>IF(LEFT(tbl_timesheet[[#This Row],[Activity]],1)="5",tbl_timesheet[[#This Row],[Total]],0)</f>
        <v>0</v>
      </c>
      <c r="N153" s="8">
        <f>IF(LEFT(tbl_timesheet[[#This Row],[Activity]],1)="6",tbl_timesheet[[#This Row],[Total]],0)</f>
        <v>5</v>
      </c>
    </row>
    <row r="154" spans="1:14" x14ac:dyDescent="0.25">
      <c r="A154" s="2">
        <v>43303</v>
      </c>
      <c r="B154" s="8">
        <v>17234021</v>
      </c>
      <c r="C154" s="1" t="s">
        <v>78</v>
      </c>
      <c r="D154" s="1"/>
      <c r="E154" s="3">
        <v>0</v>
      </c>
      <c r="F154" s="3">
        <v>5</v>
      </c>
      <c r="G154" s="3">
        <v>2</v>
      </c>
      <c r="H154" s="3">
        <v>2</v>
      </c>
      <c r="I154" s="3">
        <v>0</v>
      </c>
      <c r="J154" s="3">
        <v>0</v>
      </c>
      <c r="K154" s="3">
        <v>0</v>
      </c>
      <c r="L154" s="3">
        <v>9</v>
      </c>
      <c r="M154" s="8">
        <f>IF(LEFT(tbl_timesheet[[#This Row],[Activity]],1)="5",tbl_timesheet[[#This Row],[Total]],0)</f>
        <v>0</v>
      </c>
      <c r="N154" s="8">
        <f>IF(LEFT(tbl_timesheet[[#This Row],[Activity]],1)="6",tbl_timesheet[[#This Row],[Total]],0)</f>
        <v>0</v>
      </c>
    </row>
    <row r="155" spans="1:14" x14ac:dyDescent="0.25">
      <c r="A155" s="2">
        <v>43303</v>
      </c>
      <c r="B155" s="8">
        <v>18234008</v>
      </c>
      <c r="C155" s="1" t="s">
        <v>5</v>
      </c>
      <c r="D155" s="1"/>
      <c r="E155" s="3">
        <v>5</v>
      </c>
      <c r="F155" s="3">
        <v>5</v>
      </c>
      <c r="G155" s="3">
        <v>0</v>
      </c>
      <c r="H155" s="3">
        <v>0</v>
      </c>
      <c r="I155" s="3">
        <v>0</v>
      </c>
      <c r="J155" s="3">
        <v>0</v>
      </c>
      <c r="K155" s="3">
        <v>0</v>
      </c>
      <c r="L155" s="3">
        <v>10</v>
      </c>
      <c r="M155" s="8">
        <f>IF(LEFT(tbl_timesheet[[#This Row],[Activity]],1)="5",tbl_timesheet[[#This Row],[Total]],0)</f>
        <v>0</v>
      </c>
      <c r="N155" s="8">
        <f>IF(LEFT(tbl_timesheet[[#This Row],[Activity]],1)="6",tbl_timesheet[[#This Row],[Total]],0)</f>
        <v>10</v>
      </c>
    </row>
    <row r="156" spans="1:14" x14ac:dyDescent="0.25">
      <c r="A156" s="2">
        <v>43303</v>
      </c>
      <c r="B156" s="8">
        <v>18234009</v>
      </c>
      <c r="C156" s="1" t="s">
        <v>5</v>
      </c>
      <c r="D156" s="1"/>
      <c r="E156" s="3">
        <v>0</v>
      </c>
      <c r="F156" s="3">
        <v>0</v>
      </c>
      <c r="G156" s="3">
        <v>5</v>
      </c>
      <c r="H156" s="3">
        <v>5</v>
      </c>
      <c r="I156" s="3">
        <v>0</v>
      </c>
      <c r="J156" s="3">
        <v>0</v>
      </c>
      <c r="K156" s="3">
        <v>0</v>
      </c>
      <c r="L156" s="3">
        <v>10</v>
      </c>
      <c r="M156" s="8">
        <f>IF(LEFT(tbl_timesheet[[#This Row],[Activity]],1)="5",tbl_timesheet[[#This Row],[Total]],0)</f>
        <v>0</v>
      </c>
      <c r="N156" s="8">
        <f>IF(LEFT(tbl_timesheet[[#This Row],[Activity]],1)="6",tbl_timesheet[[#This Row],[Total]],0)</f>
        <v>10</v>
      </c>
    </row>
    <row r="157" spans="1:14" x14ac:dyDescent="0.25">
      <c r="A157" s="2">
        <v>43303</v>
      </c>
      <c r="B157" s="8">
        <v>18234011</v>
      </c>
      <c r="C157" s="1" t="s">
        <v>5</v>
      </c>
      <c r="D157" s="1"/>
      <c r="E157" s="3">
        <v>0</v>
      </c>
      <c r="F157" s="3">
        <v>0</v>
      </c>
      <c r="G157" s="3">
        <v>3</v>
      </c>
      <c r="H157" s="3">
        <v>3</v>
      </c>
      <c r="I157" s="3">
        <v>0</v>
      </c>
      <c r="J157" s="3">
        <v>0</v>
      </c>
      <c r="K157" s="3">
        <v>0</v>
      </c>
      <c r="L157" s="3">
        <v>6</v>
      </c>
      <c r="M157" s="8">
        <f>IF(LEFT(tbl_timesheet[[#This Row],[Activity]],1)="5",tbl_timesheet[[#This Row],[Total]],0)</f>
        <v>0</v>
      </c>
      <c r="N157" s="8">
        <f>IF(LEFT(tbl_timesheet[[#This Row],[Activity]],1)="6",tbl_timesheet[[#This Row],[Total]],0)</f>
        <v>6</v>
      </c>
    </row>
    <row r="158" spans="1:14" x14ac:dyDescent="0.25">
      <c r="A158" s="2">
        <v>43310</v>
      </c>
      <c r="B158" s="8">
        <v>17234021</v>
      </c>
      <c r="C158" s="1" t="s">
        <v>78</v>
      </c>
      <c r="D158" s="1"/>
      <c r="E158" s="3">
        <v>5</v>
      </c>
      <c r="F158" s="3">
        <v>5</v>
      </c>
      <c r="G158" s="3">
        <v>0</v>
      </c>
      <c r="H158" s="3">
        <v>0</v>
      </c>
      <c r="I158" s="3">
        <v>0</v>
      </c>
      <c r="J158" s="3">
        <v>0</v>
      </c>
      <c r="K158" s="3">
        <v>0</v>
      </c>
      <c r="L158" s="3">
        <v>10</v>
      </c>
      <c r="M158" s="8">
        <f>IF(LEFT(tbl_timesheet[[#This Row],[Activity]],1)="5",tbl_timesheet[[#This Row],[Total]],0)</f>
        <v>0</v>
      </c>
      <c r="N158" s="8">
        <f>IF(LEFT(tbl_timesheet[[#This Row],[Activity]],1)="6",tbl_timesheet[[#This Row],[Total]],0)</f>
        <v>0</v>
      </c>
    </row>
    <row r="159" spans="1:14" x14ac:dyDescent="0.25">
      <c r="A159" s="2">
        <v>43310</v>
      </c>
      <c r="B159" s="8">
        <v>18234008</v>
      </c>
      <c r="C159" s="1" t="s">
        <v>5</v>
      </c>
      <c r="D159" s="1"/>
      <c r="E159" s="3">
        <v>5</v>
      </c>
      <c r="F159" s="3">
        <v>5</v>
      </c>
      <c r="G159" s="3">
        <v>5</v>
      </c>
      <c r="H159" s="3">
        <v>5</v>
      </c>
      <c r="I159" s="3">
        <v>0</v>
      </c>
      <c r="J159" s="3">
        <v>0</v>
      </c>
      <c r="K159" s="3">
        <v>0</v>
      </c>
      <c r="L159" s="3">
        <v>20</v>
      </c>
      <c r="M159" s="8">
        <f>IF(LEFT(tbl_timesheet[[#This Row],[Activity]],1)="5",tbl_timesheet[[#This Row],[Total]],0)</f>
        <v>0</v>
      </c>
      <c r="N159" s="8">
        <f>IF(LEFT(tbl_timesheet[[#This Row],[Activity]],1)="6",tbl_timesheet[[#This Row],[Total]],0)</f>
        <v>20</v>
      </c>
    </row>
    <row r="160" spans="1:14" x14ac:dyDescent="0.25">
      <c r="A160" s="2">
        <v>43310</v>
      </c>
      <c r="B160" s="8">
        <v>18234011</v>
      </c>
      <c r="C160" s="1" t="s">
        <v>5</v>
      </c>
      <c r="D160" s="1"/>
      <c r="E160" s="3">
        <v>0</v>
      </c>
      <c r="F160" s="3">
        <v>0</v>
      </c>
      <c r="G160" s="3">
        <v>3</v>
      </c>
      <c r="H160" s="3">
        <v>3</v>
      </c>
      <c r="I160" s="3">
        <v>0</v>
      </c>
      <c r="J160" s="3">
        <v>0</v>
      </c>
      <c r="K160" s="3">
        <v>0</v>
      </c>
      <c r="L160" s="3">
        <v>6</v>
      </c>
      <c r="M160" s="8">
        <f>IF(LEFT(tbl_timesheet[[#This Row],[Activity]],1)="5",tbl_timesheet[[#This Row],[Total]],0)</f>
        <v>0</v>
      </c>
      <c r="N160" s="8">
        <f>IF(LEFT(tbl_timesheet[[#This Row],[Activity]],1)="6",tbl_timesheet[[#This Row],[Total]],0)</f>
        <v>6</v>
      </c>
    </row>
    <row r="161" spans="1:14" x14ac:dyDescent="0.25">
      <c r="A161" s="2">
        <v>43310</v>
      </c>
      <c r="B161" s="8">
        <v>18261048</v>
      </c>
      <c r="C161" s="1" t="s">
        <v>34</v>
      </c>
      <c r="D161" s="1"/>
      <c r="E161" s="3">
        <v>0</v>
      </c>
      <c r="F161" s="3">
        <v>0</v>
      </c>
      <c r="G161" s="3">
        <v>2</v>
      </c>
      <c r="H161" s="3">
        <v>2</v>
      </c>
      <c r="I161" s="3">
        <v>0</v>
      </c>
      <c r="J161" s="3">
        <v>0</v>
      </c>
      <c r="K161" s="3">
        <v>0</v>
      </c>
      <c r="L161" s="3">
        <v>4</v>
      </c>
      <c r="M161" s="8">
        <f>IF(LEFT(tbl_timesheet[[#This Row],[Activity]],1)="5",tbl_timesheet[[#This Row],[Total]],0)</f>
        <v>0</v>
      </c>
      <c r="N161" s="8">
        <f>IF(LEFT(tbl_timesheet[[#This Row],[Activity]],1)="6",tbl_timesheet[[#This Row],[Total]],0)</f>
        <v>4</v>
      </c>
    </row>
    <row r="162" spans="1:14" x14ac:dyDescent="0.25">
      <c r="A162" s="2">
        <v>43317</v>
      </c>
      <c r="B162" s="8">
        <v>17053021</v>
      </c>
      <c r="C162" s="1" t="s">
        <v>34</v>
      </c>
      <c r="D162" s="1"/>
      <c r="E162" s="3">
        <v>2</v>
      </c>
      <c r="F162" s="3">
        <v>2</v>
      </c>
      <c r="G162" s="3">
        <v>2</v>
      </c>
      <c r="H162" s="3">
        <v>2</v>
      </c>
      <c r="I162" s="3">
        <v>0</v>
      </c>
      <c r="J162" s="3">
        <v>0</v>
      </c>
      <c r="K162" s="3">
        <v>0</v>
      </c>
      <c r="L162" s="3">
        <v>8</v>
      </c>
      <c r="M162" s="8">
        <f>IF(LEFT(tbl_timesheet[[#This Row],[Activity]],1)="5",tbl_timesheet[[#This Row],[Total]],0)</f>
        <v>0</v>
      </c>
      <c r="N162" s="8">
        <f>IF(LEFT(tbl_timesheet[[#This Row],[Activity]],1)="6",tbl_timesheet[[#This Row],[Total]],0)</f>
        <v>8</v>
      </c>
    </row>
    <row r="163" spans="1:14" x14ac:dyDescent="0.25">
      <c r="A163" s="2">
        <v>43317</v>
      </c>
      <c r="B163" s="8">
        <v>17234021</v>
      </c>
      <c r="C163" s="1" t="s">
        <v>78</v>
      </c>
      <c r="D163" s="1"/>
      <c r="E163" s="3">
        <v>2</v>
      </c>
      <c r="F163" s="3">
        <v>0</v>
      </c>
      <c r="G163" s="3">
        <v>0</v>
      </c>
      <c r="H163" s="3">
        <v>0</v>
      </c>
      <c r="I163" s="3">
        <v>0</v>
      </c>
      <c r="J163" s="3">
        <v>0</v>
      </c>
      <c r="K163" s="3">
        <v>0</v>
      </c>
      <c r="L163" s="3">
        <v>2</v>
      </c>
      <c r="M163" s="8">
        <f>IF(LEFT(tbl_timesheet[[#This Row],[Activity]],1)="5",tbl_timesheet[[#This Row],[Total]],0)</f>
        <v>0</v>
      </c>
      <c r="N163" s="8">
        <f>IF(LEFT(tbl_timesheet[[#This Row],[Activity]],1)="6",tbl_timesheet[[#This Row],[Total]],0)</f>
        <v>0</v>
      </c>
    </row>
    <row r="164" spans="1:14" x14ac:dyDescent="0.25">
      <c r="A164" s="2">
        <v>43317</v>
      </c>
      <c r="B164" s="8">
        <v>18234008</v>
      </c>
      <c r="C164" s="1" t="s">
        <v>34</v>
      </c>
      <c r="D164" s="1"/>
      <c r="E164" s="3">
        <v>0</v>
      </c>
      <c r="F164" s="3">
        <v>0</v>
      </c>
      <c r="G164" s="3">
        <v>0</v>
      </c>
      <c r="H164" s="3">
        <v>4</v>
      </c>
      <c r="I164" s="3">
        <v>0</v>
      </c>
      <c r="J164" s="3">
        <v>0</v>
      </c>
      <c r="K164" s="3">
        <v>0</v>
      </c>
      <c r="L164" s="3">
        <v>4</v>
      </c>
      <c r="M164" s="8">
        <f>IF(LEFT(tbl_timesheet[[#This Row],[Activity]],1)="5",tbl_timesheet[[#This Row],[Total]],0)</f>
        <v>0</v>
      </c>
      <c r="N164" s="8">
        <f>IF(LEFT(tbl_timesheet[[#This Row],[Activity]],1)="6",tbl_timesheet[[#This Row],[Total]],0)</f>
        <v>4</v>
      </c>
    </row>
    <row r="165" spans="1:14" x14ac:dyDescent="0.25">
      <c r="A165" s="2">
        <v>43317</v>
      </c>
      <c r="B165" s="8">
        <v>18234008</v>
      </c>
      <c r="C165" s="1" t="s">
        <v>5</v>
      </c>
      <c r="D165" s="1"/>
      <c r="E165" s="3">
        <v>1</v>
      </c>
      <c r="F165" s="3">
        <v>1</v>
      </c>
      <c r="G165" s="3">
        <v>2</v>
      </c>
      <c r="H165" s="3">
        <v>0</v>
      </c>
      <c r="I165" s="3">
        <v>0</v>
      </c>
      <c r="J165" s="3">
        <v>0</v>
      </c>
      <c r="K165" s="3">
        <v>0</v>
      </c>
      <c r="L165" s="3">
        <v>4</v>
      </c>
      <c r="M165" s="8">
        <f>IF(LEFT(tbl_timesheet[[#This Row],[Activity]],1)="5",tbl_timesheet[[#This Row],[Total]],0)</f>
        <v>0</v>
      </c>
      <c r="N165" s="8">
        <f>IF(LEFT(tbl_timesheet[[#This Row],[Activity]],1)="6",tbl_timesheet[[#This Row],[Total]],0)</f>
        <v>4</v>
      </c>
    </row>
    <row r="166" spans="1:14" x14ac:dyDescent="0.25">
      <c r="A166" s="2">
        <v>43317</v>
      </c>
      <c r="B166" s="8">
        <v>18234009</v>
      </c>
      <c r="C166" s="1" t="s">
        <v>34</v>
      </c>
      <c r="D166" s="1"/>
      <c r="E166" s="3">
        <v>0</v>
      </c>
      <c r="F166" s="3">
        <v>1</v>
      </c>
      <c r="G166" s="3">
        <v>0</v>
      </c>
      <c r="H166" s="3">
        <v>0</v>
      </c>
      <c r="I166" s="3">
        <v>4</v>
      </c>
      <c r="J166" s="3">
        <v>0</v>
      </c>
      <c r="K166" s="3">
        <v>0</v>
      </c>
      <c r="L166" s="3">
        <v>5</v>
      </c>
      <c r="M166" s="8">
        <f>IF(LEFT(tbl_timesheet[[#This Row],[Activity]],1)="5",tbl_timesheet[[#This Row],[Total]],0)</f>
        <v>0</v>
      </c>
      <c r="N166" s="8">
        <f>IF(LEFT(tbl_timesheet[[#This Row],[Activity]],1)="6",tbl_timesheet[[#This Row],[Total]],0)</f>
        <v>5</v>
      </c>
    </row>
    <row r="167" spans="1:14" x14ac:dyDescent="0.25">
      <c r="A167" s="2">
        <v>43317</v>
      </c>
      <c r="B167" s="8">
        <v>18234011</v>
      </c>
      <c r="C167" s="1" t="s">
        <v>34</v>
      </c>
      <c r="D167" s="1"/>
      <c r="E167" s="3">
        <v>0</v>
      </c>
      <c r="F167" s="3">
        <v>0</v>
      </c>
      <c r="G167" s="3">
        <v>0</v>
      </c>
      <c r="H167" s="3">
        <v>2</v>
      </c>
      <c r="I167" s="3">
        <v>0</v>
      </c>
      <c r="J167" s="3">
        <v>0</v>
      </c>
      <c r="K167" s="3">
        <v>0</v>
      </c>
      <c r="L167" s="3">
        <v>2</v>
      </c>
      <c r="M167" s="8">
        <f>IF(LEFT(tbl_timesheet[[#This Row],[Activity]],1)="5",tbl_timesheet[[#This Row],[Total]],0)</f>
        <v>0</v>
      </c>
      <c r="N167" s="8">
        <f>IF(LEFT(tbl_timesheet[[#This Row],[Activity]],1)="6",tbl_timesheet[[#This Row],[Total]],0)</f>
        <v>2</v>
      </c>
    </row>
    <row r="168" spans="1:14" x14ac:dyDescent="0.25">
      <c r="A168" s="2">
        <v>43317</v>
      </c>
      <c r="B168" s="8">
        <v>18234011</v>
      </c>
      <c r="C168" s="1" t="s">
        <v>5</v>
      </c>
      <c r="D168" s="1"/>
      <c r="E168" s="3">
        <v>2</v>
      </c>
      <c r="F168" s="3">
        <v>2</v>
      </c>
      <c r="G168" s="3">
        <v>2</v>
      </c>
      <c r="H168" s="3">
        <v>0</v>
      </c>
      <c r="I168" s="3">
        <v>0</v>
      </c>
      <c r="J168" s="3">
        <v>0</v>
      </c>
      <c r="K168" s="3">
        <v>0</v>
      </c>
      <c r="L168" s="3">
        <v>6</v>
      </c>
      <c r="M168" s="8">
        <f>IF(LEFT(tbl_timesheet[[#This Row],[Activity]],1)="5",tbl_timesheet[[#This Row],[Total]],0)</f>
        <v>0</v>
      </c>
      <c r="N168" s="8">
        <f>IF(LEFT(tbl_timesheet[[#This Row],[Activity]],1)="6",tbl_timesheet[[#This Row],[Total]],0)</f>
        <v>6</v>
      </c>
    </row>
    <row r="169" spans="1:14" x14ac:dyDescent="0.25">
      <c r="A169" s="2">
        <v>43317</v>
      </c>
      <c r="B169" s="8">
        <v>18234012</v>
      </c>
      <c r="C169" s="1" t="s">
        <v>34</v>
      </c>
      <c r="D169" s="1"/>
      <c r="E169" s="3">
        <v>0</v>
      </c>
      <c r="F169" s="3">
        <v>1</v>
      </c>
      <c r="G169" s="3">
        <v>1</v>
      </c>
      <c r="H169" s="3">
        <v>1</v>
      </c>
      <c r="I169" s="3">
        <v>0</v>
      </c>
      <c r="J169" s="3">
        <v>0</v>
      </c>
      <c r="K169" s="3">
        <v>0</v>
      </c>
      <c r="L169" s="3">
        <v>3</v>
      </c>
      <c r="M169" s="8">
        <f>IF(LEFT(tbl_timesheet[[#This Row],[Activity]],1)="5",tbl_timesheet[[#This Row],[Total]],0)</f>
        <v>0</v>
      </c>
      <c r="N169" s="8">
        <f>IF(LEFT(tbl_timesheet[[#This Row],[Activity]],1)="6",tbl_timesheet[[#This Row],[Total]],0)</f>
        <v>3</v>
      </c>
    </row>
    <row r="170" spans="1:14" x14ac:dyDescent="0.25">
      <c r="A170" s="2">
        <v>43317</v>
      </c>
      <c r="B170" s="8">
        <v>18261048</v>
      </c>
      <c r="C170" s="1" t="s">
        <v>34</v>
      </c>
      <c r="D170" s="1"/>
      <c r="E170" s="3">
        <v>2</v>
      </c>
      <c r="F170" s="3">
        <v>2</v>
      </c>
      <c r="G170" s="3">
        <v>2</v>
      </c>
      <c r="H170" s="3">
        <v>0</v>
      </c>
      <c r="I170" s="3">
        <v>0</v>
      </c>
      <c r="J170" s="3">
        <v>0</v>
      </c>
      <c r="K170" s="3">
        <v>0</v>
      </c>
      <c r="L170" s="3">
        <v>6</v>
      </c>
      <c r="M170" s="8">
        <f>IF(LEFT(tbl_timesheet[[#This Row],[Activity]],1)="5",tbl_timesheet[[#This Row],[Total]],0)</f>
        <v>0</v>
      </c>
      <c r="N170" s="8">
        <f>IF(LEFT(tbl_timesheet[[#This Row],[Activity]],1)="6",tbl_timesheet[[#This Row],[Total]],0)</f>
        <v>6</v>
      </c>
    </row>
    <row r="171" spans="1:14" x14ac:dyDescent="0.25">
      <c r="A171" s="2">
        <v>43324</v>
      </c>
      <c r="B171" s="8">
        <v>17053021</v>
      </c>
      <c r="C171" s="1" t="s">
        <v>30</v>
      </c>
      <c r="D171" s="1"/>
      <c r="E171" s="3">
        <v>0</v>
      </c>
      <c r="F171" s="3">
        <v>0</v>
      </c>
      <c r="G171" s="3">
        <v>0</v>
      </c>
      <c r="H171" s="3">
        <v>5</v>
      </c>
      <c r="I171" s="3">
        <v>0</v>
      </c>
      <c r="J171" s="3">
        <v>0</v>
      </c>
      <c r="K171" s="3">
        <v>0</v>
      </c>
      <c r="L171" s="3">
        <v>5</v>
      </c>
      <c r="M171" s="8">
        <f>IF(LEFT(tbl_timesheet[[#This Row],[Activity]],1)="5",tbl_timesheet[[#This Row],[Total]],0)</f>
        <v>0</v>
      </c>
      <c r="N171" s="8">
        <f>IF(LEFT(tbl_timesheet[[#This Row],[Activity]],1)="6",tbl_timesheet[[#This Row],[Total]],0)</f>
        <v>5</v>
      </c>
    </row>
    <row r="172" spans="1:14" x14ac:dyDescent="0.25">
      <c r="A172" s="2">
        <v>43324</v>
      </c>
      <c r="B172" s="8">
        <v>17053021</v>
      </c>
      <c r="C172" s="1" t="s">
        <v>1</v>
      </c>
      <c r="D172" s="1"/>
      <c r="E172" s="3">
        <v>0</v>
      </c>
      <c r="F172" s="3">
        <v>0</v>
      </c>
      <c r="G172" s="3">
        <v>0</v>
      </c>
      <c r="H172" s="3">
        <v>2</v>
      </c>
      <c r="I172" s="3">
        <v>0</v>
      </c>
      <c r="J172" s="3">
        <v>0</v>
      </c>
      <c r="K172" s="3">
        <v>0</v>
      </c>
      <c r="L172" s="3">
        <v>2</v>
      </c>
      <c r="M172" s="8">
        <f>IF(LEFT(tbl_timesheet[[#This Row],[Activity]],1)="5",tbl_timesheet[[#This Row],[Total]],0)</f>
        <v>0</v>
      </c>
      <c r="N172" s="8">
        <f>IF(LEFT(tbl_timesheet[[#This Row],[Activity]],1)="6",tbl_timesheet[[#This Row],[Total]],0)</f>
        <v>2</v>
      </c>
    </row>
    <row r="173" spans="1:14" x14ac:dyDescent="0.25">
      <c r="A173" s="2">
        <v>43324</v>
      </c>
      <c r="B173" s="8">
        <v>17053021</v>
      </c>
      <c r="C173" s="1" t="s">
        <v>34</v>
      </c>
      <c r="D173" s="1"/>
      <c r="E173" s="3">
        <v>0</v>
      </c>
      <c r="F173" s="3">
        <v>0</v>
      </c>
      <c r="G173" s="3">
        <v>0</v>
      </c>
      <c r="H173" s="3">
        <v>0</v>
      </c>
      <c r="I173" s="3">
        <v>8</v>
      </c>
      <c r="J173" s="3">
        <v>0</v>
      </c>
      <c r="K173" s="3">
        <v>0</v>
      </c>
      <c r="L173" s="3">
        <v>8</v>
      </c>
      <c r="M173" s="8">
        <f>IF(LEFT(tbl_timesheet[[#This Row],[Activity]],1)="5",tbl_timesheet[[#This Row],[Total]],0)</f>
        <v>0</v>
      </c>
      <c r="N173" s="8">
        <f>IF(LEFT(tbl_timesheet[[#This Row],[Activity]],1)="6",tbl_timesheet[[#This Row],[Total]],0)</f>
        <v>8</v>
      </c>
    </row>
    <row r="174" spans="1:14" x14ac:dyDescent="0.25">
      <c r="A174" s="2">
        <v>43324</v>
      </c>
      <c r="B174" s="8">
        <v>18234011</v>
      </c>
      <c r="C174" s="1" t="s">
        <v>34</v>
      </c>
      <c r="D174" s="1"/>
      <c r="E174" s="3">
        <v>4</v>
      </c>
      <c r="F174" s="3">
        <v>0</v>
      </c>
      <c r="G174" s="3">
        <v>0</v>
      </c>
      <c r="H174" s="3">
        <v>0</v>
      </c>
      <c r="I174" s="3">
        <v>0</v>
      </c>
      <c r="J174" s="3">
        <v>0</v>
      </c>
      <c r="K174" s="3">
        <v>0</v>
      </c>
      <c r="L174" s="3">
        <v>4</v>
      </c>
      <c r="M174" s="8">
        <f>IF(LEFT(tbl_timesheet[[#This Row],[Activity]],1)="5",tbl_timesheet[[#This Row],[Total]],0)</f>
        <v>0</v>
      </c>
      <c r="N174" s="8">
        <f>IF(LEFT(tbl_timesheet[[#This Row],[Activity]],1)="6",tbl_timesheet[[#This Row],[Total]],0)</f>
        <v>4</v>
      </c>
    </row>
    <row r="175" spans="1:14" x14ac:dyDescent="0.25">
      <c r="A175" s="2">
        <v>43324</v>
      </c>
      <c r="B175" s="8">
        <v>18234011</v>
      </c>
      <c r="C175" s="1" t="s">
        <v>28</v>
      </c>
      <c r="D175" s="1"/>
      <c r="E175" s="3">
        <v>4</v>
      </c>
      <c r="F175" s="3">
        <v>0</v>
      </c>
      <c r="G175" s="3">
        <v>0</v>
      </c>
      <c r="H175" s="3">
        <v>0</v>
      </c>
      <c r="I175" s="3">
        <v>0</v>
      </c>
      <c r="J175" s="3">
        <v>0</v>
      </c>
      <c r="K175" s="3">
        <v>0</v>
      </c>
      <c r="L175" s="3">
        <v>4</v>
      </c>
      <c r="M175" s="8">
        <f>IF(LEFT(tbl_timesheet[[#This Row],[Activity]],1)="5",tbl_timesheet[[#This Row],[Total]],0)</f>
        <v>0</v>
      </c>
      <c r="N175" s="8">
        <f>IF(LEFT(tbl_timesheet[[#This Row],[Activity]],1)="6",tbl_timesheet[[#This Row],[Total]],0)</f>
        <v>4</v>
      </c>
    </row>
    <row r="176" spans="1:14" x14ac:dyDescent="0.25">
      <c r="A176" s="2">
        <v>43324</v>
      </c>
      <c r="B176" s="8">
        <v>18234011</v>
      </c>
      <c r="C176" s="1" t="s">
        <v>18</v>
      </c>
      <c r="D176" s="1"/>
      <c r="E176" s="3">
        <v>0</v>
      </c>
      <c r="F176" s="3">
        <v>4</v>
      </c>
      <c r="G176" s="3">
        <v>0</v>
      </c>
      <c r="H176" s="3">
        <v>0</v>
      </c>
      <c r="I176" s="3">
        <v>0</v>
      </c>
      <c r="J176" s="3">
        <v>0</v>
      </c>
      <c r="K176" s="3">
        <v>0</v>
      </c>
      <c r="L176" s="3">
        <v>4</v>
      </c>
      <c r="M176" s="8">
        <f>IF(LEFT(tbl_timesheet[[#This Row],[Activity]],1)="5",tbl_timesheet[[#This Row],[Total]],0)</f>
        <v>0</v>
      </c>
      <c r="N176" s="8">
        <f>IF(LEFT(tbl_timesheet[[#This Row],[Activity]],1)="6",tbl_timesheet[[#This Row],[Total]],0)</f>
        <v>4</v>
      </c>
    </row>
    <row r="177" spans="1:14" x14ac:dyDescent="0.25">
      <c r="A177" s="2">
        <v>43324</v>
      </c>
      <c r="B177" s="8">
        <v>18234011</v>
      </c>
      <c r="C177" s="1" t="s">
        <v>5</v>
      </c>
      <c r="D177" s="1"/>
      <c r="E177" s="3">
        <v>0</v>
      </c>
      <c r="F177" s="3">
        <v>4</v>
      </c>
      <c r="G177" s="3">
        <v>3</v>
      </c>
      <c r="H177" s="3">
        <v>2</v>
      </c>
      <c r="I177" s="3">
        <v>0</v>
      </c>
      <c r="J177" s="3">
        <v>0</v>
      </c>
      <c r="K177" s="3">
        <v>0</v>
      </c>
      <c r="L177" s="3">
        <v>9</v>
      </c>
      <c r="M177" s="8">
        <f>IF(LEFT(tbl_timesheet[[#This Row],[Activity]],1)="5",tbl_timesheet[[#This Row],[Total]],0)</f>
        <v>0</v>
      </c>
      <c r="N177" s="8">
        <f>IF(LEFT(tbl_timesheet[[#This Row],[Activity]],1)="6",tbl_timesheet[[#This Row],[Total]],0)</f>
        <v>9</v>
      </c>
    </row>
    <row r="178" spans="1:14" x14ac:dyDescent="0.25">
      <c r="A178" s="2">
        <v>43324</v>
      </c>
      <c r="B178" s="8">
        <v>18234011</v>
      </c>
      <c r="C178" s="1" t="s">
        <v>30</v>
      </c>
      <c r="D178" s="1"/>
      <c r="E178" s="3">
        <v>1</v>
      </c>
      <c r="F178" s="3">
        <v>0</v>
      </c>
      <c r="G178" s="3">
        <v>2</v>
      </c>
      <c r="H178" s="3">
        <v>0</v>
      </c>
      <c r="I178" s="3">
        <v>0</v>
      </c>
      <c r="J178" s="3">
        <v>0</v>
      </c>
      <c r="K178" s="3">
        <v>0</v>
      </c>
      <c r="L178" s="3">
        <v>3</v>
      </c>
      <c r="M178" s="8">
        <f>IF(LEFT(tbl_timesheet[[#This Row],[Activity]],1)="5",tbl_timesheet[[#This Row],[Total]],0)</f>
        <v>0</v>
      </c>
      <c r="N178" s="8">
        <f>IF(LEFT(tbl_timesheet[[#This Row],[Activity]],1)="6",tbl_timesheet[[#This Row],[Total]],0)</f>
        <v>3</v>
      </c>
    </row>
    <row r="179" spans="1:14" x14ac:dyDescent="0.25">
      <c r="A179" s="2">
        <v>43324</v>
      </c>
      <c r="B179" s="8">
        <v>18234011</v>
      </c>
      <c r="C179" s="1" t="s">
        <v>6</v>
      </c>
      <c r="D179" s="1"/>
      <c r="E179" s="3">
        <v>0</v>
      </c>
      <c r="F179" s="3">
        <v>0</v>
      </c>
      <c r="G179" s="3">
        <v>3</v>
      </c>
      <c r="H179" s="3">
        <v>0</v>
      </c>
      <c r="I179" s="3">
        <v>0</v>
      </c>
      <c r="J179" s="3">
        <v>0</v>
      </c>
      <c r="K179" s="3">
        <v>0</v>
      </c>
      <c r="L179" s="3">
        <v>3</v>
      </c>
      <c r="M179" s="8">
        <f>IF(LEFT(tbl_timesheet[[#This Row],[Activity]],1)="5",tbl_timesheet[[#This Row],[Total]],0)</f>
        <v>0</v>
      </c>
      <c r="N179" s="8">
        <f>IF(LEFT(tbl_timesheet[[#This Row],[Activity]],1)="6",tbl_timesheet[[#This Row],[Total]],0)</f>
        <v>3</v>
      </c>
    </row>
    <row r="180" spans="1:14" x14ac:dyDescent="0.25">
      <c r="A180" s="2">
        <v>43324</v>
      </c>
      <c r="B180" s="8">
        <v>18234011</v>
      </c>
      <c r="C180" s="1" t="s">
        <v>24</v>
      </c>
      <c r="D180" s="1"/>
      <c r="E180" s="3">
        <v>0</v>
      </c>
      <c r="F180" s="3">
        <v>0</v>
      </c>
      <c r="G180" s="3">
        <v>1</v>
      </c>
      <c r="H180" s="3">
        <v>0</v>
      </c>
      <c r="I180" s="3">
        <v>0</v>
      </c>
      <c r="J180" s="3">
        <v>0</v>
      </c>
      <c r="K180" s="3">
        <v>0</v>
      </c>
      <c r="L180" s="3">
        <v>1</v>
      </c>
      <c r="M180" s="8">
        <f>IF(LEFT(tbl_timesheet[[#This Row],[Activity]],1)="5",tbl_timesheet[[#This Row],[Total]],0)</f>
        <v>0</v>
      </c>
      <c r="N180" s="8">
        <f>IF(LEFT(tbl_timesheet[[#This Row],[Activity]],1)="6",tbl_timesheet[[#This Row],[Total]],0)</f>
        <v>1</v>
      </c>
    </row>
    <row r="181" spans="1:14" x14ac:dyDescent="0.25">
      <c r="A181" s="2">
        <v>43324</v>
      </c>
      <c r="B181" s="8">
        <v>18261041</v>
      </c>
      <c r="C181" s="1" t="s">
        <v>34</v>
      </c>
      <c r="D181" s="1"/>
      <c r="E181" s="3">
        <v>0</v>
      </c>
      <c r="F181" s="3">
        <v>1</v>
      </c>
      <c r="G181" s="3">
        <v>0</v>
      </c>
      <c r="H181" s="3">
        <v>0</v>
      </c>
      <c r="I181" s="3">
        <v>0</v>
      </c>
      <c r="J181" s="3">
        <v>0</v>
      </c>
      <c r="K181" s="3">
        <v>0</v>
      </c>
      <c r="L181" s="3">
        <v>1</v>
      </c>
      <c r="M181" s="8">
        <f>IF(LEFT(tbl_timesheet[[#This Row],[Activity]],1)="5",tbl_timesheet[[#This Row],[Total]],0)</f>
        <v>0</v>
      </c>
      <c r="N181" s="8">
        <f>IF(LEFT(tbl_timesheet[[#This Row],[Activity]],1)="6",tbl_timesheet[[#This Row],[Total]],0)</f>
        <v>1</v>
      </c>
    </row>
    <row r="182" spans="1:14" x14ac:dyDescent="0.25">
      <c r="A182" s="2">
        <v>43331</v>
      </c>
      <c r="B182" s="8">
        <v>17053021</v>
      </c>
      <c r="C182" s="1" t="s">
        <v>30</v>
      </c>
      <c r="D182" s="1"/>
      <c r="E182" s="3">
        <v>4</v>
      </c>
      <c r="F182" s="3">
        <v>4</v>
      </c>
      <c r="G182" s="3">
        <v>0</v>
      </c>
      <c r="H182" s="3">
        <v>0</v>
      </c>
      <c r="I182" s="3">
        <v>0</v>
      </c>
      <c r="J182" s="3">
        <v>0</v>
      </c>
      <c r="K182" s="3">
        <v>0</v>
      </c>
      <c r="L182" s="3">
        <v>8</v>
      </c>
      <c r="M182" s="8">
        <f>IF(LEFT(tbl_timesheet[[#This Row],[Activity]],1)="5",tbl_timesheet[[#This Row],[Total]],0)</f>
        <v>0</v>
      </c>
      <c r="N182" s="8">
        <f>IF(LEFT(tbl_timesheet[[#This Row],[Activity]],1)="6",tbl_timesheet[[#This Row],[Total]],0)</f>
        <v>8</v>
      </c>
    </row>
    <row r="183" spans="1:14" x14ac:dyDescent="0.25">
      <c r="A183" s="2">
        <v>43331</v>
      </c>
      <c r="B183" s="8">
        <v>18234009</v>
      </c>
      <c r="C183" s="1" t="s">
        <v>34</v>
      </c>
      <c r="D183" s="1"/>
      <c r="E183" s="3">
        <v>0</v>
      </c>
      <c r="F183" s="3">
        <v>0</v>
      </c>
      <c r="G183" s="3">
        <v>0</v>
      </c>
      <c r="H183" s="3">
        <v>2</v>
      </c>
      <c r="I183" s="3">
        <v>0</v>
      </c>
      <c r="J183" s="3">
        <v>0</v>
      </c>
      <c r="K183" s="3">
        <v>0</v>
      </c>
      <c r="L183" s="3">
        <v>2</v>
      </c>
      <c r="M183" s="8">
        <f>IF(LEFT(tbl_timesheet[[#This Row],[Activity]],1)="5",tbl_timesheet[[#This Row],[Total]],0)</f>
        <v>0</v>
      </c>
      <c r="N183" s="8">
        <f>IF(LEFT(tbl_timesheet[[#This Row],[Activity]],1)="6",tbl_timesheet[[#This Row],[Total]],0)</f>
        <v>2</v>
      </c>
    </row>
    <row r="184" spans="1:14" x14ac:dyDescent="0.25">
      <c r="A184" s="2">
        <v>43331</v>
      </c>
      <c r="B184" s="8">
        <v>18234011</v>
      </c>
      <c r="C184" s="1" t="s">
        <v>30</v>
      </c>
      <c r="D184" s="1"/>
      <c r="E184" s="3">
        <v>4</v>
      </c>
      <c r="F184" s="3">
        <v>4</v>
      </c>
      <c r="G184" s="3">
        <v>4</v>
      </c>
      <c r="H184" s="3">
        <v>0</v>
      </c>
      <c r="I184" s="3">
        <v>0</v>
      </c>
      <c r="J184" s="3">
        <v>0</v>
      </c>
      <c r="K184" s="3">
        <v>0</v>
      </c>
      <c r="L184" s="3">
        <v>12</v>
      </c>
      <c r="M184" s="8">
        <f>IF(LEFT(tbl_timesheet[[#This Row],[Activity]],1)="5",tbl_timesheet[[#This Row],[Total]],0)</f>
        <v>0</v>
      </c>
      <c r="N184" s="8">
        <f>IF(LEFT(tbl_timesheet[[#This Row],[Activity]],1)="6",tbl_timesheet[[#This Row],[Total]],0)</f>
        <v>12</v>
      </c>
    </row>
    <row r="185" spans="1:14" x14ac:dyDescent="0.25">
      <c r="A185" s="2">
        <v>43331</v>
      </c>
      <c r="B185" s="8">
        <v>18234012</v>
      </c>
      <c r="C185" s="1" t="s">
        <v>16</v>
      </c>
      <c r="D185" s="1"/>
      <c r="E185" s="3">
        <v>1</v>
      </c>
      <c r="F185" s="3">
        <v>1</v>
      </c>
      <c r="G185" s="3">
        <v>3</v>
      </c>
      <c r="H185" s="3">
        <v>6</v>
      </c>
      <c r="I185" s="3">
        <v>0</v>
      </c>
      <c r="J185" s="3">
        <v>0</v>
      </c>
      <c r="K185" s="3">
        <v>0</v>
      </c>
      <c r="L185" s="3">
        <v>11</v>
      </c>
      <c r="M185" s="8">
        <f>IF(LEFT(tbl_timesheet[[#This Row],[Activity]],1)="5",tbl_timesheet[[#This Row],[Total]],0)</f>
        <v>0</v>
      </c>
      <c r="N185" s="8">
        <f>IF(LEFT(tbl_timesheet[[#This Row],[Activity]],1)="6",tbl_timesheet[[#This Row],[Total]],0)</f>
        <v>11</v>
      </c>
    </row>
    <row r="186" spans="1:14" x14ac:dyDescent="0.25">
      <c r="A186" s="2">
        <v>43331</v>
      </c>
      <c r="B186" s="8">
        <v>18261013</v>
      </c>
      <c r="C186" s="1" t="s">
        <v>34</v>
      </c>
      <c r="D186" s="1"/>
      <c r="E186" s="3">
        <v>0</v>
      </c>
      <c r="F186" s="3">
        <v>0</v>
      </c>
      <c r="G186" s="3">
        <v>2</v>
      </c>
      <c r="H186" s="3">
        <v>0</v>
      </c>
      <c r="I186" s="3">
        <v>0</v>
      </c>
      <c r="J186" s="3">
        <v>0</v>
      </c>
      <c r="K186" s="3">
        <v>0</v>
      </c>
      <c r="L186" s="3">
        <v>2</v>
      </c>
      <c r="M186" s="8">
        <f>IF(LEFT(tbl_timesheet[[#This Row],[Activity]],1)="5",tbl_timesheet[[#This Row],[Total]],0)</f>
        <v>0</v>
      </c>
      <c r="N186" s="8">
        <f>IF(LEFT(tbl_timesheet[[#This Row],[Activity]],1)="6",tbl_timesheet[[#This Row],[Total]],0)</f>
        <v>2</v>
      </c>
    </row>
    <row r="187" spans="1:14" x14ac:dyDescent="0.25">
      <c r="A187" s="2">
        <v>43331</v>
      </c>
      <c r="B187" s="8">
        <v>18261041</v>
      </c>
      <c r="C187" s="1" t="s">
        <v>34</v>
      </c>
      <c r="D187" s="1"/>
      <c r="E187" s="3">
        <v>0</v>
      </c>
      <c r="F187" s="3">
        <v>0</v>
      </c>
      <c r="G187" s="3">
        <v>0</v>
      </c>
      <c r="H187" s="3">
        <v>0</v>
      </c>
      <c r="I187" s="3">
        <v>5</v>
      </c>
      <c r="J187" s="3">
        <v>0</v>
      </c>
      <c r="K187" s="3">
        <v>0</v>
      </c>
      <c r="L187" s="3">
        <v>5</v>
      </c>
      <c r="M187" s="8">
        <f>IF(LEFT(tbl_timesheet[[#This Row],[Activity]],1)="5",tbl_timesheet[[#This Row],[Total]],0)</f>
        <v>0</v>
      </c>
      <c r="N187" s="8">
        <f>IF(LEFT(tbl_timesheet[[#This Row],[Activity]],1)="6",tbl_timesheet[[#This Row],[Total]],0)</f>
        <v>5</v>
      </c>
    </row>
    <row r="188" spans="1:14" x14ac:dyDescent="0.25">
      <c r="A188" s="2">
        <v>43338</v>
      </c>
      <c r="B188" s="8">
        <v>17053021</v>
      </c>
      <c r="C188" s="1" t="s">
        <v>79</v>
      </c>
      <c r="D188" s="1"/>
      <c r="E188" s="3">
        <v>0</v>
      </c>
      <c r="F188" s="3">
        <v>0</v>
      </c>
      <c r="G188" s="3">
        <v>3</v>
      </c>
      <c r="H188" s="3">
        <v>5</v>
      </c>
      <c r="I188" s="3">
        <v>6</v>
      </c>
      <c r="J188" s="3">
        <v>0</v>
      </c>
      <c r="K188" s="3">
        <v>0</v>
      </c>
      <c r="L188" s="3">
        <v>14</v>
      </c>
      <c r="M188" s="8">
        <f>IF(LEFT(tbl_timesheet[[#This Row],[Activity]],1)="5",tbl_timesheet[[#This Row],[Total]],0)</f>
        <v>0</v>
      </c>
      <c r="N188" s="8">
        <f>IF(LEFT(tbl_timesheet[[#This Row],[Activity]],1)="6",tbl_timesheet[[#This Row],[Total]],0)</f>
        <v>14</v>
      </c>
    </row>
    <row r="189" spans="1:14" x14ac:dyDescent="0.25">
      <c r="A189" s="2">
        <v>43338</v>
      </c>
      <c r="B189" s="8">
        <v>18234009</v>
      </c>
      <c r="C189" s="1" t="s">
        <v>5</v>
      </c>
      <c r="D189" s="1"/>
      <c r="E189" s="3">
        <v>2</v>
      </c>
      <c r="F189" s="3">
        <v>0</v>
      </c>
      <c r="G189" s="3">
        <v>0</v>
      </c>
      <c r="H189" s="3">
        <v>0</v>
      </c>
      <c r="I189" s="3">
        <v>0</v>
      </c>
      <c r="J189" s="3">
        <v>0</v>
      </c>
      <c r="K189" s="3">
        <v>0</v>
      </c>
      <c r="L189" s="3">
        <v>2</v>
      </c>
      <c r="M189" s="8">
        <f>IF(LEFT(tbl_timesheet[[#This Row],[Activity]],1)="5",tbl_timesheet[[#This Row],[Total]],0)</f>
        <v>0</v>
      </c>
      <c r="N189" s="8">
        <f>IF(LEFT(tbl_timesheet[[#This Row],[Activity]],1)="6",tbl_timesheet[[#This Row],[Total]],0)</f>
        <v>2</v>
      </c>
    </row>
    <row r="190" spans="1:14" x14ac:dyDescent="0.25">
      <c r="A190" s="2">
        <v>43338</v>
      </c>
      <c r="B190" s="8">
        <v>18234011</v>
      </c>
      <c r="C190" s="1" t="s">
        <v>79</v>
      </c>
      <c r="D190" s="1"/>
      <c r="E190" s="3">
        <v>0</v>
      </c>
      <c r="F190" s="3">
        <v>0</v>
      </c>
      <c r="G190" s="3">
        <v>4</v>
      </c>
      <c r="H190" s="3">
        <v>0</v>
      </c>
      <c r="I190" s="3">
        <v>0</v>
      </c>
      <c r="J190" s="3">
        <v>0</v>
      </c>
      <c r="K190" s="3">
        <v>0</v>
      </c>
      <c r="L190" s="3">
        <v>4</v>
      </c>
      <c r="M190" s="8">
        <f>IF(LEFT(tbl_timesheet[[#This Row],[Activity]],1)="5",tbl_timesheet[[#This Row],[Total]],0)</f>
        <v>0</v>
      </c>
      <c r="N190" s="8">
        <f>IF(LEFT(tbl_timesheet[[#This Row],[Activity]],1)="6",tbl_timesheet[[#This Row],[Total]],0)</f>
        <v>4</v>
      </c>
    </row>
    <row r="191" spans="1:14" x14ac:dyDescent="0.25">
      <c r="A191" s="2">
        <v>43338</v>
      </c>
      <c r="B191" s="8">
        <v>18234012</v>
      </c>
      <c r="C191" s="1" t="s">
        <v>5</v>
      </c>
      <c r="D191" s="1"/>
      <c r="E191" s="3">
        <v>2</v>
      </c>
      <c r="F191" s="3">
        <v>0</v>
      </c>
      <c r="G191" s="3">
        <v>0</v>
      </c>
      <c r="H191" s="3">
        <v>0</v>
      </c>
      <c r="I191" s="3">
        <v>0</v>
      </c>
      <c r="J191" s="3">
        <v>0</v>
      </c>
      <c r="K191" s="3">
        <v>0</v>
      </c>
      <c r="L191" s="3">
        <v>2</v>
      </c>
      <c r="M191" s="8">
        <f>IF(LEFT(tbl_timesheet[[#This Row],[Activity]],1)="5",tbl_timesheet[[#This Row],[Total]],0)</f>
        <v>0</v>
      </c>
      <c r="N191" s="8">
        <f>IF(LEFT(tbl_timesheet[[#This Row],[Activity]],1)="6",tbl_timesheet[[#This Row],[Total]],0)</f>
        <v>2</v>
      </c>
    </row>
    <row r="192" spans="1:14" x14ac:dyDescent="0.25">
      <c r="A192" s="2">
        <v>43338</v>
      </c>
      <c r="B192" s="8">
        <v>18234023</v>
      </c>
      <c r="C192" s="1" t="s">
        <v>35</v>
      </c>
      <c r="D192" s="1"/>
      <c r="E192" s="3">
        <v>0</v>
      </c>
      <c r="F192" s="3">
        <v>5</v>
      </c>
      <c r="G192" s="3">
        <v>0</v>
      </c>
      <c r="H192" s="3">
        <v>0</v>
      </c>
      <c r="I192" s="3">
        <v>0</v>
      </c>
      <c r="J192" s="3">
        <v>0</v>
      </c>
      <c r="K192" s="3">
        <v>0</v>
      </c>
      <c r="L192" s="3">
        <v>5</v>
      </c>
      <c r="M192" s="8">
        <f>IF(LEFT(tbl_timesheet[[#This Row],[Activity]],1)="5",tbl_timesheet[[#This Row],[Total]],0)</f>
        <v>5</v>
      </c>
      <c r="N192" s="8">
        <f>IF(LEFT(tbl_timesheet[[#This Row],[Activity]],1)="6",tbl_timesheet[[#This Row],[Total]],0)</f>
        <v>0</v>
      </c>
    </row>
    <row r="193" spans="1:14" x14ac:dyDescent="0.25">
      <c r="A193" s="2">
        <v>43338</v>
      </c>
      <c r="B193" s="8">
        <v>18234023</v>
      </c>
      <c r="C193" s="1" t="s">
        <v>34</v>
      </c>
      <c r="D193" s="1"/>
      <c r="E193" s="3">
        <v>0</v>
      </c>
      <c r="F193" s="3">
        <v>0</v>
      </c>
      <c r="G193" s="3">
        <v>0</v>
      </c>
      <c r="H193" s="3">
        <v>4</v>
      </c>
      <c r="I193" s="3">
        <v>0</v>
      </c>
      <c r="J193" s="3">
        <v>0</v>
      </c>
      <c r="K193" s="3">
        <v>0</v>
      </c>
      <c r="L193" s="3">
        <v>4</v>
      </c>
      <c r="M193" s="8">
        <f>IF(LEFT(tbl_timesheet[[#This Row],[Activity]],1)="5",tbl_timesheet[[#This Row],[Total]],0)</f>
        <v>0</v>
      </c>
      <c r="N193" s="8">
        <f>IF(LEFT(tbl_timesheet[[#This Row],[Activity]],1)="6",tbl_timesheet[[#This Row],[Total]],0)</f>
        <v>4</v>
      </c>
    </row>
    <row r="194" spans="1:14" x14ac:dyDescent="0.25">
      <c r="A194" s="2">
        <v>43338</v>
      </c>
      <c r="B194" s="8">
        <v>18234023</v>
      </c>
      <c r="C194" s="1" t="s">
        <v>28</v>
      </c>
      <c r="D194" s="1"/>
      <c r="E194" s="3">
        <v>0</v>
      </c>
      <c r="F194" s="3">
        <v>3</v>
      </c>
      <c r="G194" s="3">
        <v>0</v>
      </c>
      <c r="H194" s="3">
        <v>0</v>
      </c>
      <c r="I194" s="3">
        <v>0</v>
      </c>
      <c r="J194" s="3">
        <v>0</v>
      </c>
      <c r="K194" s="3">
        <v>0</v>
      </c>
      <c r="L194" s="3">
        <v>3</v>
      </c>
      <c r="M194" s="8">
        <f>IF(LEFT(tbl_timesheet[[#This Row],[Activity]],1)="5",tbl_timesheet[[#This Row],[Total]],0)</f>
        <v>0</v>
      </c>
      <c r="N194" s="8">
        <f>IF(LEFT(tbl_timesheet[[#This Row],[Activity]],1)="6",tbl_timesheet[[#This Row],[Total]],0)</f>
        <v>3</v>
      </c>
    </row>
    <row r="195" spans="1:14" x14ac:dyDescent="0.25">
      <c r="A195" s="2">
        <v>43338</v>
      </c>
      <c r="B195" s="8">
        <v>18261041</v>
      </c>
      <c r="C195" s="1" t="s">
        <v>37</v>
      </c>
      <c r="D195" s="1"/>
      <c r="E195" s="3">
        <v>4</v>
      </c>
      <c r="F195" s="3">
        <v>0</v>
      </c>
      <c r="G195" s="3">
        <v>2</v>
      </c>
      <c r="H195" s="3">
        <v>0</v>
      </c>
      <c r="I195" s="3">
        <v>0</v>
      </c>
      <c r="J195" s="3">
        <v>0</v>
      </c>
      <c r="K195" s="3">
        <v>0</v>
      </c>
      <c r="L195" s="3">
        <v>6</v>
      </c>
      <c r="M195" s="8">
        <f>IF(LEFT(tbl_timesheet[[#This Row],[Activity]],1)="5",tbl_timesheet[[#This Row],[Total]],0)</f>
        <v>0</v>
      </c>
      <c r="N195" s="8">
        <f>IF(LEFT(tbl_timesheet[[#This Row],[Activity]],1)="6",tbl_timesheet[[#This Row],[Total]],0)</f>
        <v>6</v>
      </c>
    </row>
    <row r="196" spans="1:14" x14ac:dyDescent="0.25">
      <c r="A196" s="2">
        <v>43345</v>
      </c>
      <c r="B196" s="8">
        <v>17053021</v>
      </c>
      <c r="C196" s="1" t="s">
        <v>1</v>
      </c>
      <c r="D196" s="1"/>
      <c r="E196" s="3">
        <v>0</v>
      </c>
      <c r="F196" s="3">
        <v>0</v>
      </c>
      <c r="G196" s="3">
        <v>5</v>
      </c>
      <c r="H196" s="3">
        <v>0</v>
      </c>
      <c r="I196" s="3">
        <v>0</v>
      </c>
      <c r="J196" s="3">
        <v>0</v>
      </c>
      <c r="K196" s="3">
        <v>0</v>
      </c>
      <c r="L196" s="3">
        <v>5</v>
      </c>
      <c r="M196" s="8">
        <f>IF(LEFT(tbl_timesheet[[#This Row],[Activity]],1)="5",tbl_timesheet[[#This Row],[Total]],0)</f>
        <v>0</v>
      </c>
      <c r="N196" s="8">
        <f>IF(LEFT(tbl_timesheet[[#This Row],[Activity]],1)="6",tbl_timesheet[[#This Row],[Total]],0)</f>
        <v>5</v>
      </c>
    </row>
    <row r="197" spans="1:14" x14ac:dyDescent="0.25">
      <c r="A197" s="2">
        <v>43345</v>
      </c>
      <c r="B197" s="8">
        <v>18234008</v>
      </c>
      <c r="C197" s="1" t="s">
        <v>79</v>
      </c>
      <c r="D197" s="1"/>
      <c r="E197" s="3">
        <v>0</v>
      </c>
      <c r="F197" s="3">
        <v>0</v>
      </c>
      <c r="G197" s="3">
        <v>0</v>
      </c>
      <c r="H197" s="3">
        <v>1</v>
      </c>
      <c r="I197" s="3">
        <v>0</v>
      </c>
      <c r="J197" s="3">
        <v>0</v>
      </c>
      <c r="K197" s="3">
        <v>0</v>
      </c>
      <c r="L197" s="3">
        <v>1</v>
      </c>
      <c r="M197" s="8">
        <f>IF(LEFT(tbl_timesheet[[#This Row],[Activity]],1)="5",tbl_timesheet[[#This Row],[Total]],0)</f>
        <v>0</v>
      </c>
      <c r="N197" s="8">
        <f>IF(LEFT(tbl_timesheet[[#This Row],[Activity]],1)="6",tbl_timesheet[[#This Row],[Total]],0)</f>
        <v>1</v>
      </c>
    </row>
    <row r="198" spans="1:14" x14ac:dyDescent="0.25">
      <c r="A198" s="2">
        <v>43345</v>
      </c>
      <c r="B198" s="8">
        <v>18234011</v>
      </c>
      <c r="C198" s="1" t="s">
        <v>79</v>
      </c>
      <c r="D198" s="1"/>
      <c r="E198" s="3">
        <v>0</v>
      </c>
      <c r="F198" s="3">
        <v>0</v>
      </c>
      <c r="G198" s="3">
        <v>0</v>
      </c>
      <c r="H198" s="3">
        <v>1</v>
      </c>
      <c r="I198" s="3">
        <v>0</v>
      </c>
      <c r="J198" s="3">
        <v>0</v>
      </c>
      <c r="K198" s="3">
        <v>0</v>
      </c>
      <c r="L198" s="3">
        <v>1</v>
      </c>
      <c r="M198" s="8">
        <f>IF(LEFT(tbl_timesheet[[#This Row],[Activity]],1)="5",tbl_timesheet[[#This Row],[Total]],0)</f>
        <v>0</v>
      </c>
      <c r="N198" s="8">
        <f>IF(LEFT(tbl_timesheet[[#This Row],[Activity]],1)="6",tbl_timesheet[[#This Row],[Total]],0)</f>
        <v>1</v>
      </c>
    </row>
    <row r="199" spans="1:14" x14ac:dyDescent="0.25">
      <c r="A199" s="2">
        <v>43345</v>
      </c>
      <c r="B199" s="8">
        <v>18234023</v>
      </c>
      <c r="C199" s="1" t="s">
        <v>34</v>
      </c>
      <c r="D199" s="1"/>
      <c r="E199" s="3">
        <v>0</v>
      </c>
      <c r="F199" s="3">
        <v>0</v>
      </c>
      <c r="G199" s="3">
        <v>0</v>
      </c>
      <c r="H199" s="3">
        <v>3</v>
      </c>
      <c r="I199" s="3">
        <v>0</v>
      </c>
      <c r="J199" s="3">
        <v>0</v>
      </c>
      <c r="K199" s="3">
        <v>0</v>
      </c>
      <c r="L199" s="3">
        <v>3</v>
      </c>
      <c r="M199" s="8">
        <f>IF(LEFT(tbl_timesheet[[#This Row],[Activity]],1)="5",tbl_timesheet[[#This Row],[Total]],0)</f>
        <v>0</v>
      </c>
      <c r="N199" s="8">
        <f>IF(LEFT(tbl_timesheet[[#This Row],[Activity]],1)="6",tbl_timesheet[[#This Row],[Total]],0)</f>
        <v>3</v>
      </c>
    </row>
    <row r="200" spans="1:14" x14ac:dyDescent="0.25">
      <c r="A200" s="2">
        <v>43345</v>
      </c>
      <c r="B200" s="8">
        <v>18234023</v>
      </c>
      <c r="C200" s="1" t="s">
        <v>16</v>
      </c>
      <c r="D200" s="1"/>
      <c r="E200" s="3">
        <v>4</v>
      </c>
      <c r="F200" s="3">
        <v>4</v>
      </c>
      <c r="G200" s="3">
        <v>0</v>
      </c>
      <c r="H200" s="3">
        <v>0</v>
      </c>
      <c r="I200" s="3">
        <v>0</v>
      </c>
      <c r="J200" s="3">
        <v>0</v>
      </c>
      <c r="K200" s="3">
        <v>0</v>
      </c>
      <c r="L200" s="3">
        <v>8</v>
      </c>
      <c r="M200" s="8">
        <f>IF(LEFT(tbl_timesheet[[#This Row],[Activity]],1)="5",tbl_timesheet[[#This Row],[Total]],0)</f>
        <v>0</v>
      </c>
      <c r="N200" s="8">
        <f>IF(LEFT(tbl_timesheet[[#This Row],[Activity]],1)="6",tbl_timesheet[[#This Row],[Total]],0)</f>
        <v>8</v>
      </c>
    </row>
    <row r="201" spans="1:14" x14ac:dyDescent="0.25">
      <c r="A201" s="2">
        <v>43345</v>
      </c>
      <c r="B201" s="8">
        <v>18234023</v>
      </c>
      <c r="C201" s="1" t="s">
        <v>5</v>
      </c>
      <c r="D201" s="1"/>
      <c r="E201" s="3">
        <v>0</v>
      </c>
      <c r="F201" s="3">
        <v>0</v>
      </c>
      <c r="G201" s="3">
        <v>4</v>
      </c>
      <c r="H201" s="3">
        <v>4</v>
      </c>
      <c r="I201" s="3">
        <v>0</v>
      </c>
      <c r="J201" s="3">
        <v>0</v>
      </c>
      <c r="K201" s="3">
        <v>0</v>
      </c>
      <c r="L201" s="3">
        <v>8</v>
      </c>
      <c r="M201" s="8">
        <f>IF(LEFT(tbl_timesheet[[#This Row],[Activity]],1)="5",tbl_timesheet[[#This Row],[Total]],0)</f>
        <v>0</v>
      </c>
      <c r="N201" s="8">
        <f>IF(LEFT(tbl_timesheet[[#This Row],[Activity]],1)="6",tbl_timesheet[[#This Row],[Total]],0)</f>
        <v>8</v>
      </c>
    </row>
    <row r="202" spans="1:14" x14ac:dyDescent="0.25">
      <c r="A202" s="2">
        <v>43345</v>
      </c>
      <c r="B202" s="8">
        <v>18261041</v>
      </c>
      <c r="C202" s="1" t="s">
        <v>34</v>
      </c>
      <c r="D202" s="1"/>
      <c r="E202" s="3">
        <v>1</v>
      </c>
      <c r="F202" s="3">
        <v>1</v>
      </c>
      <c r="G202" s="3">
        <v>1</v>
      </c>
      <c r="H202" s="3">
        <v>1</v>
      </c>
      <c r="I202" s="3">
        <v>0</v>
      </c>
      <c r="J202" s="3">
        <v>0</v>
      </c>
      <c r="K202" s="3">
        <v>0</v>
      </c>
      <c r="L202" s="3">
        <v>4</v>
      </c>
      <c r="M202" s="8">
        <f>IF(LEFT(tbl_timesheet[[#This Row],[Activity]],1)="5",tbl_timesheet[[#This Row],[Total]],0)</f>
        <v>0</v>
      </c>
      <c r="N202" s="8">
        <f>IF(LEFT(tbl_timesheet[[#This Row],[Activity]],1)="6",tbl_timesheet[[#This Row],[Total]],0)</f>
        <v>4</v>
      </c>
    </row>
    <row r="203" spans="1:14" x14ac:dyDescent="0.25">
      <c r="A203" s="2">
        <v>43345</v>
      </c>
      <c r="B203" s="8">
        <v>18261041</v>
      </c>
      <c r="C203" s="1" t="s">
        <v>16</v>
      </c>
      <c r="D203" s="1"/>
      <c r="E203" s="3">
        <v>5</v>
      </c>
      <c r="F203" s="3">
        <v>5</v>
      </c>
      <c r="G203" s="3">
        <v>0</v>
      </c>
      <c r="H203" s="3">
        <v>0</v>
      </c>
      <c r="I203" s="3">
        <v>0</v>
      </c>
      <c r="J203" s="3">
        <v>0</v>
      </c>
      <c r="K203" s="3">
        <v>0</v>
      </c>
      <c r="L203" s="3">
        <v>10</v>
      </c>
      <c r="M203" s="8">
        <f>IF(LEFT(tbl_timesheet[[#This Row],[Activity]],1)="5",tbl_timesheet[[#This Row],[Total]],0)</f>
        <v>0</v>
      </c>
      <c r="N203" s="8">
        <f>IF(LEFT(tbl_timesheet[[#This Row],[Activity]],1)="6",tbl_timesheet[[#This Row],[Total]],0)</f>
        <v>10</v>
      </c>
    </row>
    <row r="204" spans="1:14" x14ac:dyDescent="0.25">
      <c r="A204" s="2">
        <v>43352</v>
      </c>
      <c r="B204" s="8">
        <v>17053021</v>
      </c>
      <c r="C204" s="1" t="s">
        <v>79</v>
      </c>
      <c r="D204" s="1"/>
      <c r="E204" s="3">
        <v>0</v>
      </c>
      <c r="F204" s="3">
        <v>0</v>
      </c>
      <c r="G204" s="3">
        <v>0</v>
      </c>
      <c r="H204" s="3">
        <v>2</v>
      </c>
      <c r="I204" s="3">
        <v>4</v>
      </c>
      <c r="J204" s="3">
        <v>0</v>
      </c>
      <c r="K204" s="3">
        <v>0</v>
      </c>
      <c r="L204" s="3">
        <v>6</v>
      </c>
      <c r="M204" s="8">
        <f>IF(LEFT(tbl_timesheet[[#This Row],[Activity]],1)="5",tbl_timesheet[[#This Row],[Total]],0)</f>
        <v>0</v>
      </c>
      <c r="N204" s="8">
        <f>IF(LEFT(tbl_timesheet[[#This Row],[Activity]],1)="6",tbl_timesheet[[#This Row],[Total]],0)</f>
        <v>6</v>
      </c>
    </row>
    <row r="205" spans="1:14" x14ac:dyDescent="0.25">
      <c r="A205" s="2">
        <v>43352</v>
      </c>
      <c r="B205" s="8">
        <v>18000000</v>
      </c>
      <c r="C205" s="1" t="s">
        <v>45</v>
      </c>
      <c r="D205" s="1"/>
      <c r="E205" s="3">
        <v>8</v>
      </c>
      <c r="F205" s="3">
        <v>0</v>
      </c>
      <c r="G205" s="3">
        <v>0</v>
      </c>
      <c r="H205" s="3">
        <v>0</v>
      </c>
      <c r="I205" s="3">
        <v>0</v>
      </c>
      <c r="J205" s="3">
        <v>0</v>
      </c>
      <c r="K205" s="3">
        <v>0</v>
      </c>
      <c r="L205" s="3">
        <v>8</v>
      </c>
      <c r="M205" s="8">
        <f>IF(LEFT(tbl_timesheet[[#This Row],[Activity]],1)="5",tbl_timesheet[[#This Row],[Total]],0)</f>
        <v>0</v>
      </c>
      <c r="N205" s="8">
        <f>IF(LEFT(tbl_timesheet[[#This Row],[Activity]],1)="6",tbl_timesheet[[#This Row],[Total]],0)</f>
        <v>8</v>
      </c>
    </row>
    <row r="206" spans="1:14" x14ac:dyDescent="0.25">
      <c r="A206" s="2">
        <v>43352</v>
      </c>
      <c r="B206" s="8">
        <v>18234009</v>
      </c>
      <c r="C206" s="1" t="s">
        <v>34</v>
      </c>
      <c r="D206" s="1"/>
      <c r="E206" s="3">
        <v>0</v>
      </c>
      <c r="F206" s="3">
        <v>5</v>
      </c>
      <c r="G206" s="3">
        <v>0</v>
      </c>
      <c r="H206" s="3">
        <v>0</v>
      </c>
      <c r="I206" s="3">
        <v>0</v>
      </c>
      <c r="J206" s="3">
        <v>0</v>
      </c>
      <c r="K206" s="3">
        <v>0</v>
      </c>
      <c r="L206" s="3">
        <v>5</v>
      </c>
      <c r="M206" s="8">
        <f>IF(LEFT(tbl_timesheet[[#This Row],[Activity]],1)="5",tbl_timesheet[[#This Row],[Total]],0)</f>
        <v>0</v>
      </c>
      <c r="N206" s="8">
        <f>IF(LEFT(tbl_timesheet[[#This Row],[Activity]],1)="6",tbl_timesheet[[#This Row],[Total]],0)</f>
        <v>5</v>
      </c>
    </row>
    <row r="207" spans="1:14" x14ac:dyDescent="0.25">
      <c r="A207" s="2">
        <v>43352</v>
      </c>
      <c r="B207" s="8">
        <v>18234012</v>
      </c>
      <c r="C207" s="1" t="s">
        <v>34</v>
      </c>
      <c r="D207" s="1"/>
      <c r="E207" s="3">
        <v>0</v>
      </c>
      <c r="F207" s="3">
        <v>0</v>
      </c>
      <c r="G207" s="3">
        <v>5</v>
      </c>
      <c r="H207" s="3">
        <v>0</v>
      </c>
      <c r="I207" s="3">
        <v>0</v>
      </c>
      <c r="J207" s="3">
        <v>0</v>
      </c>
      <c r="K207" s="3">
        <v>0</v>
      </c>
      <c r="L207" s="3">
        <v>5</v>
      </c>
      <c r="M207" s="8">
        <f>IF(LEFT(tbl_timesheet[[#This Row],[Activity]],1)="5",tbl_timesheet[[#This Row],[Total]],0)</f>
        <v>0</v>
      </c>
      <c r="N207" s="8">
        <f>IF(LEFT(tbl_timesheet[[#This Row],[Activity]],1)="6",tbl_timesheet[[#This Row],[Total]],0)</f>
        <v>5</v>
      </c>
    </row>
    <row r="208" spans="1:14" x14ac:dyDescent="0.25">
      <c r="A208" s="2">
        <v>43352</v>
      </c>
      <c r="B208" s="8">
        <v>18234023</v>
      </c>
      <c r="C208" s="1" t="s">
        <v>34</v>
      </c>
      <c r="D208" s="1"/>
      <c r="E208" s="3">
        <v>0</v>
      </c>
      <c r="F208" s="3">
        <v>0</v>
      </c>
      <c r="G208" s="3">
        <v>0</v>
      </c>
      <c r="H208" s="3">
        <v>5</v>
      </c>
      <c r="I208" s="3">
        <v>0</v>
      </c>
      <c r="J208" s="3">
        <v>0</v>
      </c>
      <c r="K208" s="3">
        <v>0</v>
      </c>
      <c r="L208" s="3">
        <v>5</v>
      </c>
      <c r="M208" s="8">
        <f>IF(LEFT(tbl_timesheet[[#This Row],[Activity]],1)="5",tbl_timesheet[[#This Row],[Total]],0)</f>
        <v>0</v>
      </c>
      <c r="N208" s="8">
        <f>IF(LEFT(tbl_timesheet[[#This Row],[Activity]],1)="6",tbl_timesheet[[#This Row],[Total]],0)</f>
        <v>5</v>
      </c>
    </row>
    <row r="209" spans="1:14" x14ac:dyDescent="0.25">
      <c r="A209" s="2">
        <v>43352</v>
      </c>
      <c r="B209" s="8">
        <v>18261014</v>
      </c>
      <c r="C209" s="1" t="s">
        <v>34</v>
      </c>
      <c r="D209" s="1"/>
      <c r="E209" s="3">
        <v>0</v>
      </c>
      <c r="F209" s="3">
        <v>0</v>
      </c>
      <c r="G209" s="3">
        <v>0</v>
      </c>
      <c r="H209" s="3">
        <v>2</v>
      </c>
      <c r="I209" s="3">
        <v>0</v>
      </c>
      <c r="J209" s="3">
        <v>0</v>
      </c>
      <c r="K209" s="3">
        <v>0</v>
      </c>
      <c r="L209" s="3">
        <v>2</v>
      </c>
      <c r="M209" s="8">
        <f>IF(LEFT(tbl_timesheet[[#This Row],[Activity]],1)="5",tbl_timesheet[[#This Row],[Total]],0)</f>
        <v>0</v>
      </c>
      <c r="N209" s="8">
        <f>IF(LEFT(tbl_timesheet[[#This Row],[Activity]],1)="6",tbl_timesheet[[#This Row],[Total]],0)</f>
        <v>2</v>
      </c>
    </row>
    <row r="210" spans="1:14" x14ac:dyDescent="0.25">
      <c r="A210" s="2">
        <v>43352</v>
      </c>
      <c r="B210" s="8">
        <v>18261059</v>
      </c>
      <c r="C210" s="1" t="s">
        <v>5</v>
      </c>
      <c r="D210" s="1"/>
      <c r="E210" s="3">
        <v>0</v>
      </c>
      <c r="F210" s="3">
        <v>4</v>
      </c>
      <c r="G210" s="3">
        <v>4</v>
      </c>
      <c r="H210" s="3">
        <v>1</v>
      </c>
      <c r="I210" s="3">
        <v>0</v>
      </c>
      <c r="J210" s="3">
        <v>0</v>
      </c>
      <c r="K210" s="3">
        <v>0</v>
      </c>
      <c r="L210" s="3">
        <v>9</v>
      </c>
      <c r="M210" s="8">
        <f>IF(LEFT(tbl_timesheet[[#This Row],[Activity]],1)="5",tbl_timesheet[[#This Row],[Total]],0)</f>
        <v>0</v>
      </c>
      <c r="N210" s="8">
        <f>IF(LEFT(tbl_timesheet[[#This Row],[Activity]],1)="6",tbl_timesheet[[#This Row],[Total]],0)</f>
        <v>9</v>
      </c>
    </row>
    <row r="211" spans="1:14" x14ac:dyDescent="0.25">
      <c r="A211" s="2">
        <v>43359</v>
      </c>
      <c r="B211" s="8">
        <v>17053021</v>
      </c>
      <c r="C211" s="1" t="s">
        <v>79</v>
      </c>
      <c r="D211" s="1"/>
      <c r="E211" s="3">
        <v>2</v>
      </c>
      <c r="F211" s="3">
        <v>2</v>
      </c>
      <c r="G211" s="3">
        <v>2</v>
      </c>
      <c r="H211" s="3">
        <v>2</v>
      </c>
      <c r="I211" s="3">
        <v>0</v>
      </c>
      <c r="J211" s="3">
        <v>0</v>
      </c>
      <c r="K211" s="3">
        <v>0</v>
      </c>
      <c r="L211" s="3">
        <v>8</v>
      </c>
      <c r="M211" s="8">
        <f>IF(LEFT(tbl_timesheet[[#This Row],[Activity]],1)="5",tbl_timesheet[[#This Row],[Total]],0)</f>
        <v>0</v>
      </c>
      <c r="N211" s="8">
        <f>IF(LEFT(tbl_timesheet[[#This Row],[Activity]],1)="6",tbl_timesheet[[#This Row],[Total]],0)</f>
        <v>8</v>
      </c>
    </row>
    <row r="212" spans="1:14" x14ac:dyDescent="0.25">
      <c r="A212" s="2">
        <v>43359</v>
      </c>
      <c r="B212" s="8">
        <v>18234009</v>
      </c>
      <c r="C212" s="1" t="s">
        <v>24</v>
      </c>
      <c r="D212" s="1"/>
      <c r="E212" s="3">
        <v>0</v>
      </c>
      <c r="F212" s="3">
        <v>1</v>
      </c>
      <c r="G212" s="3">
        <v>0</v>
      </c>
      <c r="H212" s="3">
        <v>0</v>
      </c>
      <c r="I212" s="3">
        <v>0</v>
      </c>
      <c r="J212" s="3">
        <v>0</v>
      </c>
      <c r="K212" s="3">
        <v>0</v>
      </c>
      <c r="L212" s="3">
        <v>1</v>
      </c>
      <c r="M212" s="8">
        <f>IF(LEFT(tbl_timesheet[[#This Row],[Activity]],1)="5",tbl_timesheet[[#This Row],[Total]],0)</f>
        <v>0</v>
      </c>
      <c r="N212" s="8">
        <f>IF(LEFT(tbl_timesheet[[#This Row],[Activity]],1)="6",tbl_timesheet[[#This Row],[Total]],0)</f>
        <v>1</v>
      </c>
    </row>
    <row r="213" spans="1:14" x14ac:dyDescent="0.25">
      <c r="A213" s="2">
        <v>43359</v>
      </c>
      <c r="B213" s="8">
        <v>18234009</v>
      </c>
      <c r="C213" s="1" t="s">
        <v>28</v>
      </c>
      <c r="D213" s="1"/>
      <c r="E213" s="3">
        <v>2</v>
      </c>
      <c r="F213" s="3">
        <v>0</v>
      </c>
      <c r="G213" s="3">
        <v>0</v>
      </c>
      <c r="H213" s="3">
        <v>0</v>
      </c>
      <c r="I213" s="3">
        <v>0</v>
      </c>
      <c r="J213" s="3">
        <v>0</v>
      </c>
      <c r="K213" s="3">
        <v>0</v>
      </c>
      <c r="L213" s="3">
        <v>2</v>
      </c>
      <c r="M213" s="8">
        <f>IF(LEFT(tbl_timesheet[[#This Row],[Activity]],1)="5",tbl_timesheet[[#This Row],[Total]],0)</f>
        <v>0</v>
      </c>
      <c r="N213" s="8">
        <f>IF(LEFT(tbl_timesheet[[#This Row],[Activity]],1)="6",tbl_timesheet[[#This Row],[Total]],0)</f>
        <v>2</v>
      </c>
    </row>
    <row r="214" spans="1:14" x14ac:dyDescent="0.25">
      <c r="A214" s="2">
        <v>43359</v>
      </c>
      <c r="B214" s="8">
        <v>18234009</v>
      </c>
      <c r="C214" s="1" t="s">
        <v>35</v>
      </c>
      <c r="D214" s="1"/>
      <c r="E214" s="3">
        <v>0</v>
      </c>
      <c r="F214" s="3">
        <v>0</v>
      </c>
      <c r="G214" s="3">
        <v>6</v>
      </c>
      <c r="H214" s="3">
        <v>0</v>
      </c>
      <c r="I214" s="3">
        <v>0</v>
      </c>
      <c r="J214" s="3">
        <v>0</v>
      </c>
      <c r="K214" s="3">
        <v>0</v>
      </c>
      <c r="L214" s="3">
        <v>6</v>
      </c>
      <c r="M214" s="8">
        <f>IF(LEFT(tbl_timesheet[[#This Row],[Activity]],1)="5",tbl_timesheet[[#This Row],[Total]],0)</f>
        <v>6</v>
      </c>
      <c r="N214" s="8">
        <f>IF(LEFT(tbl_timesheet[[#This Row],[Activity]],1)="6",tbl_timesheet[[#This Row],[Total]],0)</f>
        <v>0</v>
      </c>
    </row>
    <row r="215" spans="1:14" x14ac:dyDescent="0.25">
      <c r="A215" s="2">
        <v>43359</v>
      </c>
      <c r="B215" s="8">
        <v>18234009</v>
      </c>
      <c r="C215" s="1" t="s">
        <v>85</v>
      </c>
      <c r="D215" s="1"/>
      <c r="E215" s="3">
        <v>0</v>
      </c>
      <c r="F215" s="3">
        <v>0</v>
      </c>
      <c r="G215" s="3">
        <v>0</v>
      </c>
      <c r="H215" s="3">
        <v>1</v>
      </c>
      <c r="I215" s="3">
        <v>0</v>
      </c>
      <c r="J215" s="3">
        <v>0</v>
      </c>
      <c r="K215" s="3">
        <v>0</v>
      </c>
      <c r="L215" s="3">
        <v>1</v>
      </c>
      <c r="M215" s="8">
        <f>IF(LEFT(tbl_timesheet[[#This Row],[Activity]],1)="5",tbl_timesheet[[#This Row],[Total]],0)</f>
        <v>1</v>
      </c>
      <c r="N215" s="8">
        <f>IF(LEFT(tbl_timesheet[[#This Row],[Activity]],1)="6",tbl_timesheet[[#This Row],[Total]],0)</f>
        <v>0</v>
      </c>
    </row>
    <row r="216" spans="1:14" x14ac:dyDescent="0.25">
      <c r="A216" s="2">
        <v>43359</v>
      </c>
      <c r="B216" s="8">
        <v>18234012</v>
      </c>
      <c r="C216" s="1" t="s">
        <v>35</v>
      </c>
      <c r="D216" s="1"/>
      <c r="E216" s="3">
        <v>0</v>
      </c>
      <c r="F216" s="3">
        <v>0</v>
      </c>
      <c r="G216" s="3">
        <v>0</v>
      </c>
      <c r="H216" s="3">
        <v>6</v>
      </c>
      <c r="I216" s="3">
        <v>0</v>
      </c>
      <c r="J216" s="3">
        <v>0</v>
      </c>
      <c r="K216" s="3">
        <v>0</v>
      </c>
      <c r="L216" s="3">
        <v>6</v>
      </c>
      <c r="M216" s="8">
        <f>IF(LEFT(tbl_timesheet[[#This Row],[Activity]],1)="5",tbl_timesheet[[#This Row],[Total]],0)</f>
        <v>6</v>
      </c>
      <c r="N216" s="8">
        <f>IF(LEFT(tbl_timesheet[[#This Row],[Activity]],1)="6",tbl_timesheet[[#This Row],[Total]],0)</f>
        <v>0</v>
      </c>
    </row>
    <row r="217" spans="1:14" x14ac:dyDescent="0.25">
      <c r="A217" s="2">
        <v>43359</v>
      </c>
      <c r="B217" s="8">
        <v>18234012</v>
      </c>
      <c r="C217" s="1" t="s">
        <v>85</v>
      </c>
      <c r="D217" s="1"/>
      <c r="E217" s="3">
        <v>0</v>
      </c>
      <c r="F217" s="3">
        <v>0</v>
      </c>
      <c r="G217" s="3">
        <v>1</v>
      </c>
      <c r="H217" s="3">
        <v>0</v>
      </c>
      <c r="I217" s="3">
        <v>0</v>
      </c>
      <c r="J217" s="3">
        <v>0</v>
      </c>
      <c r="K217" s="3">
        <v>0</v>
      </c>
      <c r="L217" s="3">
        <v>1</v>
      </c>
      <c r="M217" s="8">
        <f>IF(LEFT(tbl_timesheet[[#This Row],[Activity]],1)="5",tbl_timesheet[[#This Row],[Total]],0)</f>
        <v>1</v>
      </c>
      <c r="N217" s="8">
        <f>IF(LEFT(tbl_timesheet[[#This Row],[Activity]],1)="6",tbl_timesheet[[#This Row],[Total]],0)</f>
        <v>0</v>
      </c>
    </row>
    <row r="218" spans="1:14" x14ac:dyDescent="0.25">
      <c r="A218" s="2">
        <v>43359</v>
      </c>
      <c r="B218" s="8">
        <v>18234012</v>
      </c>
      <c r="C218" s="1" t="s">
        <v>28</v>
      </c>
      <c r="D218" s="1"/>
      <c r="E218" s="3">
        <v>0</v>
      </c>
      <c r="F218" s="3">
        <v>4</v>
      </c>
      <c r="G218" s="3">
        <v>0</v>
      </c>
      <c r="H218" s="3">
        <v>0</v>
      </c>
      <c r="I218" s="3">
        <v>0</v>
      </c>
      <c r="J218" s="3">
        <v>0</v>
      </c>
      <c r="K218" s="3">
        <v>0</v>
      </c>
      <c r="L218" s="3">
        <v>4</v>
      </c>
      <c r="M218" s="8">
        <f>IF(LEFT(tbl_timesheet[[#This Row],[Activity]],1)="5",tbl_timesheet[[#This Row],[Total]],0)</f>
        <v>0</v>
      </c>
      <c r="N218" s="8">
        <f>IF(LEFT(tbl_timesheet[[#This Row],[Activity]],1)="6",tbl_timesheet[[#This Row],[Total]],0)</f>
        <v>4</v>
      </c>
    </row>
    <row r="219" spans="1:14" x14ac:dyDescent="0.25">
      <c r="A219" s="2">
        <v>43359</v>
      </c>
      <c r="B219" s="8">
        <v>18234012</v>
      </c>
      <c r="C219" s="1" t="s">
        <v>24</v>
      </c>
      <c r="D219" s="1"/>
      <c r="E219" s="3">
        <v>0</v>
      </c>
      <c r="F219" s="3">
        <v>1</v>
      </c>
      <c r="G219" s="3">
        <v>0</v>
      </c>
      <c r="H219" s="3">
        <v>0</v>
      </c>
      <c r="I219" s="3">
        <v>0</v>
      </c>
      <c r="J219" s="3">
        <v>0</v>
      </c>
      <c r="K219" s="3">
        <v>0</v>
      </c>
      <c r="L219" s="3">
        <v>1</v>
      </c>
      <c r="M219" s="8">
        <f>IF(LEFT(tbl_timesheet[[#This Row],[Activity]],1)="5",tbl_timesheet[[#This Row],[Total]],0)</f>
        <v>0</v>
      </c>
      <c r="N219" s="8">
        <f>IF(LEFT(tbl_timesheet[[#This Row],[Activity]],1)="6",tbl_timesheet[[#This Row],[Total]],0)</f>
        <v>1</v>
      </c>
    </row>
    <row r="220" spans="1:14" x14ac:dyDescent="0.25">
      <c r="A220" s="2">
        <v>43359</v>
      </c>
      <c r="B220" s="8">
        <v>18234023</v>
      </c>
      <c r="C220" s="1" t="s">
        <v>24</v>
      </c>
      <c r="D220" s="1"/>
      <c r="E220" s="3">
        <v>0</v>
      </c>
      <c r="F220" s="3">
        <v>1</v>
      </c>
      <c r="G220" s="3">
        <v>0</v>
      </c>
      <c r="H220" s="3">
        <v>0</v>
      </c>
      <c r="I220" s="3">
        <v>0</v>
      </c>
      <c r="J220" s="3">
        <v>0</v>
      </c>
      <c r="K220" s="3">
        <v>0</v>
      </c>
      <c r="L220" s="3">
        <v>1</v>
      </c>
      <c r="M220" s="8">
        <f>IF(LEFT(tbl_timesheet[[#This Row],[Activity]],1)="5",tbl_timesheet[[#This Row],[Total]],0)</f>
        <v>0</v>
      </c>
      <c r="N220" s="8">
        <f>IF(LEFT(tbl_timesheet[[#This Row],[Activity]],1)="6",tbl_timesheet[[#This Row],[Total]],0)</f>
        <v>1</v>
      </c>
    </row>
    <row r="221" spans="1:14" x14ac:dyDescent="0.25">
      <c r="A221" s="2">
        <v>43359</v>
      </c>
      <c r="B221" s="8">
        <v>18261041</v>
      </c>
      <c r="C221" s="1" t="s">
        <v>34</v>
      </c>
      <c r="D221" s="1"/>
      <c r="E221" s="3">
        <v>5</v>
      </c>
      <c r="F221" s="3">
        <v>0</v>
      </c>
      <c r="G221" s="3">
        <v>0</v>
      </c>
      <c r="H221" s="3">
        <v>0</v>
      </c>
      <c r="I221" s="3">
        <v>0</v>
      </c>
      <c r="J221" s="3">
        <v>0</v>
      </c>
      <c r="K221" s="3">
        <v>0</v>
      </c>
      <c r="L221" s="3">
        <v>5</v>
      </c>
      <c r="M221" s="8">
        <f>IF(LEFT(tbl_timesheet[[#This Row],[Activity]],1)="5",tbl_timesheet[[#This Row],[Total]],0)</f>
        <v>0</v>
      </c>
      <c r="N221" s="8">
        <f>IF(LEFT(tbl_timesheet[[#This Row],[Activity]],1)="6",tbl_timesheet[[#This Row],[Total]],0)</f>
        <v>5</v>
      </c>
    </row>
    <row r="222" spans="1:14" x14ac:dyDescent="0.25">
      <c r="A222" s="2">
        <v>43366</v>
      </c>
      <c r="B222" s="8">
        <v>17053021</v>
      </c>
      <c r="C222" s="1" t="s">
        <v>79</v>
      </c>
      <c r="D222" s="1"/>
      <c r="E222" s="3">
        <v>4</v>
      </c>
      <c r="F222" s="3">
        <v>0</v>
      </c>
      <c r="G222" s="3">
        <v>0</v>
      </c>
      <c r="H222" s="3">
        <v>0</v>
      </c>
      <c r="I222" s="3">
        <v>0</v>
      </c>
      <c r="J222" s="3">
        <v>0</v>
      </c>
      <c r="K222" s="3">
        <v>0</v>
      </c>
      <c r="L222" s="3">
        <v>4</v>
      </c>
      <c r="M222" s="8">
        <f>IF(LEFT(tbl_timesheet[[#This Row],[Activity]],1)="5",tbl_timesheet[[#This Row],[Total]],0)</f>
        <v>0</v>
      </c>
      <c r="N222" s="8">
        <f>IF(LEFT(tbl_timesheet[[#This Row],[Activity]],1)="6",tbl_timesheet[[#This Row],[Total]],0)</f>
        <v>4</v>
      </c>
    </row>
    <row r="223" spans="1:14" x14ac:dyDescent="0.25">
      <c r="A223" s="2">
        <v>43366</v>
      </c>
      <c r="B223" s="8">
        <v>18234009</v>
      </c>
      <c r="C223" s="1" t="s">
        <v>34</v>
      </c>
      <c r="D223" s="1"/>
      <c r="E223" s="3">
        <v>0</v>
      </c>
      <c r="F223" s="3">
        <v>5</v>
      </c>
      <c r="G223" s="3">
        <v>0</v>
      </c>
      <c r="H223" s="3">
        <v>0</v>
      </c>
      <c r="I223" s="3">
        <v>0</v>
      </c>
      <c r="J223" s="3">
        <v>0</v>
      </c>
      <c r="K223" s="3">
        <v>0</v>
      </c>
      <c r="L223" s="3">
        <v>5</v>
      </c>
      <c r="M223" s="8">
        <f>IF(LEFT(tbl_timesheet[[#This Row],[Activity]],1)="5",tbl_timesheet[[#This Row],[Total]],0)</f>
        <v>0</v>
      </c>
      <c r="N223" s="8">
        <f>IF(LEFT(tbl_timesheet[[#This Row],[Activity]],1)="6",tbl_timesheet[[#This Row],[Total]],0)</f>
        <v>5</v>
      </c>
    </row>
    <row r="224" spans="1:14" x14ac:dyDescent="0.25">
      <c r="A224" s="2">
        <v>43366</v>
      </c>
      <c r="B224" s="8">
        <v>18234012</v>
      </c>
      <c r="C224" s="1" t="s">
        <v>34</v>
      </c>
      <c r="D224" s="1"/>
      <c r="E224" s="3">
        <v>2</v>
      </c>
      <c r="F224" s="3">
        <v>4</v>
      </c>
      <c r="G224" s="3">
        <v>0</v>
      </c>
      <c r="H224" s="3">
        <v>0</v>
      </c>
      <c r="I224" s="3">
        <v>0</v>
      </c>
      <c r="J224" s="3">
        <v>0</v>
      </c>
      <c r="K224" s="3">
        <v>0</v>
      </c>
      <c r="L224" s="3">
        <v>6</v>
      </c>
      <c r="M224" s="8">
        <f>IF(LEFT(tbl_timesheet[[#This Row],[Activity]],1)="5",tbl_timesheet[[#This Row],[Total]],0)</f>
        <v>0</v>
      </c>
      <c r="N224" s="8">
        <f>IF(LEFT(tbl_timesheet[[#This Row],[Activity]],1)="6",tbl_timesheet[[#This Row],[Total]],0)</f>
        <v>6</v>
      </c>
    </row>
    <row r="225" spans="1:14" x14ac:dyDescent="0.25">
      <c r="A225" s="2">
        <v>43366</v>
      </c>
      <c r="B225" s="8">
        <v>18234023</v>
      </c>
      <c r="C225" s="1" t="s">
        <v>86</v>
      </c>
      <c r="D225" s="1"/>
      <c r="E225" s="3">
        <v>3</v>
      </c>
      <c r="F225" s="3">
        <v>0</v>
      </c>
      <c r="G225" s="3">
        <v>0</v>
      </c>
      <c r="H225" s="3">
        <v>0</v>
      </c>
      <c r="I225" s="3">
        <v>0</v>
      </c>
      <c r="J225" s="3">
        <v>0</v>
      </c>
      <c r="K225" s="3">
        <v>0</v>
      </c>
      <c r="L225" s="3">
        <v>3</v>
      </c>
      <c r="M225" s="8">
        <f>IF(LEFT(tbl_timesheet[[#This Row],[Activity]],1)="5",tbl_timesheet[[#This Row],[Total]],0)</f>
        <v>3</v>
      </c>
      <c r="N225" s="8">
        <f>IF(LEFT(tbl_timesheet[[#This Row],[Activity]],1)="6",tbl_timesheet[[#This Row],[Total]],0)</f>
        <v>0</v>
      </c>
    </row>
    <row r="226" spans="1:14" x14ac:dyDescent="0.25">
      <c r="A226" s="2">
        <v>43366</v>
      </c>
      <c r="B226" s="8">
        <v>18261048</v>
      </c>
      <c r="C226" s="1" t="s">
        <v>87</v>
      </c>
      <c r="D226" s="1"/>
      <c r="E226" s="3">
        <v>0</v>
      </c>
      <c r="F226" s="3">
        <v>0</v>
      </c>
      <c r="G226" s="3">
        <v>0</v>
      </c>
      <c r="H226" s="3">
        <v>0</v>
      </c>
      <c r="I226" s="3">
        <v>5</v>
      </c>
      <c r="J226" s="3">
        <v>0</v>
      </c>
      <c r="K226" s="3">
        <v>0</v>
      </c>
      <c r="L226" s="3">
        <v>5</v>
      </c>
      <c r="M226" s="8">
        <f>IF(LEFT(tbl_timesheet[[#This Row],[Activity]],1)="5",tbl_timesheet[[#This Row],[Total]],0)</f>
        <v>0</v>
      </c>
      <c r="N226" s="8">
        <f>IF(LEFT(tbl_timesheet[[#This Row],[Activity]],1)="6",tbl_timesheet[[#This Row],[Total]],0)</f>
        <v>5</v>
      </c>
    </row>
    <row r="227" spans="1:14" x14ac:dyDescent="0.25">
      <c r="A227" s="2">
        <v>43366</v>
      </c>
      <c r="B227" s="8">
        <v>18261048</v>
      </c>
      <c r="C227" s="1" t="s">
        <v>5</v>
      </c>
      <c r="D227" s="1"/>
      <c r="E227" s="3">
        <v>0</v>
      </c>
      <c r="F227" s="3">
        <v>0</v>
      </c>
      <c r="G227" s="3">
        <v>5</v>
      </c>
      <c r="H227" s="3">
        <v>0</v>
      </c>
      <c r="I227" s="3">
        <v>0</v>
      </c>
      <c r="J227" s="3">
        <v>0</v>
      </c>
      <c r="K227" s="3">
        <v>0</v>
      </c>
      <c r="L227" s="3">
        <v>5</v>
      </c>
      <c r="M227" s="8">
        <f>IF(LEFT(tbl_timesheet[[#This Row],[Activity]],1)="5",tbl_timesheet[[#This Row],[Total]],0)</f>
        <v>0</v>
      </c>
      <c r="N227" s="8">
        <f>IF(LEFT(tbl_timesheet[[#This Row],[Activity]],1)="6",tbl_timesheet[[#This Row],[Total]],0)</f>
        <v>5</v>
      </c>
    </row>
    <row r="228" spans="1:14" x14ac:dyDescent="0.25">
      <c r="A228" s="2">
        <v>43366</v>
      </c>
      <c r="B228" s="8">
        <v>18261048</v>
      </c>
      <c r="C228" s="1" t="s">
        <v>34</v>
      </c>
      <c r="D228" s="1"/>
      <c r="E228" s="3">
        <v>0</v>
      </c>
      <c r="F228" s="3">
        <v>0</v>
      </c>
      <c r="G228" s="3">
        <v>4</v>
      </c>
      <c r="H228" s="3">
        <v>0</v>
      </c>
      <c r="I228" s="3">
        <v>0</v>
      </c>
      <c r="J228" s="3">
        <v>0</v>
      </c>
      <c r="K228" s="3">
        <v>0</v>
      </c>
      <c r="L228" s="3">
        <v>4</v>
      </c>
      <c r="M228" s="8">
        <f>IF(LEFT(tbl_timesheet[[#This Row],[Activity]],1)="5",tbl_timesheet[[#This Row],[Total]],0)</f>
        <v>0</v>
      </c>
      <c r="N228" s="8">
        <f>IF(LEFT(tbl_timesheet[[#This Row],[Activity]],1)="6",tbl_timesheet[[#This Row],[Total]],0)</f>
        <v>4</v>
      </c>
    </row>
    <row r="229" spans="1:14" x14ac:dyDescent="0.25">
      <c r="A229" s="2">
        <v>43366</v>
      </c>
      <c r="B229" s="8">
        <v>18261059</v>
      </c>
      <c r="C229" s="1" t="s">
        <v>5</v>
      </c>
      <c r="D229" s="1"/>
      <c r="E229" s="3">
        <v>0</v>
      </c>
      <c r="F229" s="3">
        <v>0</v>
      </c>
      <c r="G229" s="3">
        <v>0</v>
      </c>
      <c r="H229" s="3">
        <v>5</v>
      </c>
      <c r="I229" s="3">
        <v>0</v>
      </c>
      <c r="J229" s="3">
        <v>0</v>
      </c>
      <c r="K229" s="3">
        <v>0</v>
      </c>
      <c r="L229" s="3">
        <v>5</v>
      </c>
      <c r="M229" s="8">
        <f>IF(LEFT(tbl_timesheet[[#This Row],[Activity]],1)="5",tbl_timesheet[[#This Row],[Total]],0)</f>
        <v>0</v>
      </c>
      <c r="N229" s="8">
        <f>IF(LEFT(tbl_timesheet[[#This Row],[Activity]],1)="6",tbl_timesheet[[#This Row],[Total]],0)</f>
        <v>5</v>
      </c>
    </row>
    <row r="230" spans="1:14" x14ac:dyDescent="0.25">
      <c r="A230" s="2">
        <v>43366</v>
      </c>
      <c r="B230" s="8">
        <v>18261059</v>
      </c>
      <c r="C230" s="1" t="s">
        <v>34</v>
      </c>
      <c r="D230" s="1"/>
      <c r="E230" s="3">
        <v>0</v>
      </c>
      <c r="F230" s="3">
        <v>0</v>
      </c>
      <c r="G230" s="3">
        <v>0</v>
      </c>
      <c r="H230" s="3">
        <v>4</v>
      </c>
      <c r="I230" s="3">
        <v>0</v>
      </c>
      <c r="J230" s="3">
        <v>0</v>
      </c>
      <c r="K230" s="3">
        <v>0</v>
      </c>
      <c r="L230" s="3">
        <v>4</v>
      </c>
      <c r="M230" s="8">
        <f>IF(LEFT(tbl_timesheet[[#This Row],[Activity]],1)="5",tbl_timesheet[[#This Row],[Total]],0)</f>
        <v>0</v>
      </c>
      <c r="N230" s="8">
        <f>IF(LEFT(tbl_timesheet[[#This Row],[Activity]],1)="6",tbl_timesheet[[#This Row],[Total]],0)</f>
        <v>4</v>
      </c>
    </row>
    <row r="231" spans="1:14" x14ac:dyDescent="0.25">
      <c r="A231" s="2">
        <v>43373</v>
      </c>
      <c r="B231" s="8">
        <v>17053021</v>
      </c>
      <c r="C231" s="1" t="s">
        <v>24</v>
      </c>
      <c r="D231" s="1"/>
      <c r="E231" s="3">
        <v>0</v>
      </c>
      <c r="F231" s="3">
        <v>1</v>
      </c>
      <c r="G231" s="3">
        <v>0</v>
      </c>
      <c r="H231" s="3">
        <v>0</v>
      </c>
      <c r="I231" s="3">
        <v>0</v>
      </c>
      <c r="J231" s="3">
        <v>0</v>
      </c>
      <c r="K231" s="3">
        <v>0</v>
      </c>
      <c r="L231" s="3">
        <v>1</v>
      </c>
      <c r="M231" s="8">
        <f>IF(LEFT(tbl_timesheet[[#This Row],[Activity]],1)="5",tbl_timesheet[[#This Row],[Total]],0)</f>
        <v>0</v>
      </c>
      <c r="N231" s="8">
        <f>IF(LEFT(tbl_timesheet[[#This Row],[Activity]],1)="6",tbl_timesheet[[#This Row],[Total]],0)</f>
        <v>1</v>
      </c>
    </row>
    <row r="232" spans="1:14" x14ac:dyDescent="0.25">
      <c r="A232" s="2">
        <v>43373</v>
      </c>
      <c r="B232" s="8">
        <v>17053021</v>
      </c>
      <c r="C232" s="1" t="s">
        <v>79</v>
      </c>
      <c r="D232" s="1"/>
      <c r="E232" s="3">
        <v>0</v>
      </c>
      <c r="F232" s="3">
        <v>1</v>
      </c>
      <c r="G232" s="3">
        <v>1</v>
      </c>
      <c r="H232" s="3">
        <v>0</v>
      </c>
      <c r="I232" s="3">
        <v>3</v>
      </c>
      <c r="J232" s="3">
        <v>0</v>
      </c>
      <c r="K232" s="3">
        <v>0</v>
      </c>
      <c r="L232" s="3">
        <v>5</v>
      </c>
      <c r="M232" s="8">
        <f>IF(LEFT(tbl_timesheet[[#This Row],[Activity]],1)="5",tbl_timesheet[[#This Row],[Total]],0)</f>
        <v>0</v>
      </c>
      <c r="N232" s="8">
        <f>IF(LEFT(tbl_timesheet[[#This Row],[Activity]],1)="6",tbl_timesheet[[#This Row],[Total]],0)</f>
        <v>5</v>
      </c>
    </row>
    <row r="233" spans="1:14" x14ac:dyDescent="0.25">
      <c r="A233" s="2">
        <v>43373</v>
      </c>
      <c r="B233" s="8">
        <v>18234009</v>
      </c>
      <c r="C233" s="1" t="s">
        <v>24</v>
      </c>
      <c r="D233" s="1"/>
      <c r="E233" s="3">
        <v>0</v>
      </c>
      <c r="F233" s="3">
        <v>0.75</v>
      </c>
      <c r="G233" s="3">
        <v>0</v>
      </c>
      <c r="H233" s="3">
        <v>0</v>
      </c>
      <c r="I233" s="3">
        <v>0</v>
      </c>
      <c r="J233" s="3">
        <v>0</v>
      </c>
      <c r="K233" s="3">
        <v>0</v>
      </c>
      <c r="L233" s="3">
        <v>0.75</v>
      </c>
      <c r="M233" s="8">
        <f>IF(LEFT(tbl_timesheet[[#This Row],[Activity]],1)="5",tbl_timesheet[[#This Row],[Total]],0)</f>
        <v>0</v>
      </c>
      <c r="N233" s="8">
        <f>IF(LEFT(tbl_timesheet[[#This Row],[Activity]],1)="6",tbl_timesheet[[#This Row],[Total]],0)</f>
        <v>0.75</v>
      </c>
    </row>
    <row r="234" spans="1:14" x14ac:dyDescent="0.25">
      <c r="A234" s="2">
        <v>43373</v>
      </c>
      <c r="B234" s="8">
        <v>18234012</v>
      </c>
      <c r="C234" s="1" t="s">
        <v>24</v>
      </c>
      <c r="D234" s="1"/>
      <c r="E234" s="3">
        <v>0</v>
      </c>
      <c r="F234" s="3">
        <v>0.75</v>
      </c>
      <c r="G234" s="3">
        <v>0</v>
      </c>
      <c r="H234" s="3">
        <v>0</v>
      </c>
      <c r="I234" s="3">
        <v>0</v>
      </c>
      <c r="J234" s="3">
        <v>0</v>
      </c>
      <c r="K234" s="3">
        <v>0</v>
      </c>
      <c r="L234" s="3">
        <v>0.75</v>
      </c>
      <c r="M234" s="8">
        <f>IF(LEFT(tbl_timesheet[[#This Row],[Activity]],1)="5",tbl_timesheet[[#This Row],[Total]],0)</f>
        <v>0</v>
      </c>
      <c r="N234" s="8">
        <f>IF(LEFT(tbl_timesheet[[#This Row],[Activity]],1)="6",tbl_timesheet[[#This Row],[Total]],0)</f>
        <v>0.75</v>
      </c>
    </row>
    <row r="235" spans="1:14" x14ac:dyDescent="0.25">
      <c r="A235" s="2">
        <v>43373</v>
      </c>
      <c r="B235" s="8">
        <v>18234022</v>
      </c>
      <c r="C235" s="1" t="s">
        <v>24</v>
      </c>
      <c r="D235" s="1"/>
      <c r="E235" s="3">
        <v>0</v>
      </c>
      <c r="F235" s="3">
        <v>1</v>
      </c>
      <c r="G235" s="3">
        <v>0</v>
      </c>
      <c r="H235" s="3">
        <v>0</v>
      </c>
      <c r="I235" s="3">
        <v>0</v>
      </c>
      <c r="J235" s="3">
        <v>0</v>
      </c>
      <c r="K235" s="3">
        <v>0</v>
      </c>
      <c r="L235" s="3">
        <v>1</v>
      </c>
      <c r="M235" s="8">
        <f>IF(LEFT(tbl_timesheet[[#This Row],[Activity]],1)="5",tbl_timesheet[[#This Row],[Total]],0)</f>
        <v>0</v>
      </c>
      <c r="N235" s="8">
        <f>IF(LEFT(tbl_timesheet[[#This Row],[Activity]],1)="6",tbl_timesheet[[#This Row],[Total]],0)</f>
        <v>1</v>
      </c>
    </row>
    <row r="236" spans="1:14" x14ac:dyDescent="0.25">
      <c r="A236" s="2">
        <v>43373</v>
      </c>
      <c r="B236" s="8">
        <v>18234022</v>
      </c>
      <c r="C236" s="1" t="s">
        <v>5</v>
      </c>
      <c r="D236" s="1"/>
      <c r="E236" s="3">
        <v>0</v>
      </c>
      <c r="F236" s="3">
        <v>5</v>
      </c>
      <c r="G236" s="3">
        <v>0</v>
      </c>
      <c r="H236" s="3">
        <v>0</v>
      </c>
      <c r="I236" s="3">
        <v>0</v>
      </c>
      <c r="J236" s="3">
        <v>0</v>
      </c>
      <c r="K236" s="3">
        <v>0</v>
      </c>
      <c r="L236" s="3">
        <v>5</v>
      </c>
      <c r="M236" s="8">
        <f>IF(LEFT(tbl_timesheet[[#This Row],[Activity]],1)="5",tbl_timesheet[[#This Row],[Total]],0)</f>
        <v>0</v>
      </c>
      <c r="N236" s="8">
        <f>IF(LEFT(tbl_timesheet[[#This Row],[Activity]],1)="6",tbl_timesheet[[#This Row],[Total]],0)</f>
        <v>5</v>
      </c>
    </row>
    <row r="237" spans="1:14" x14ac:dyDescent="0.25">
      <c r="A237" s="2">
        <v>43373</v>
      </c>
      <c r="B237" s="8">
        <v>18234023</v>
      </c>
      <c r="C237" s="1" t="s">
        <v>85</v>
      </c>
      <c r="D237" s="1"/>
      <c r="E237" s="3">
        <v>0</v>
      </c>
      <c r="F237" s="3">
        <v>0</v>
      </c>
      <c r="G237" s="3">
        <v>1</v>
      </c>
      <c r="H237" s="3">
        <v>0</v>
      </c>
      <c r="I237" s="3">
        <v>0</v>
      </c>
      <c r="J237" s="3">
        <v>0</v>
      </c>
      <c r="K237" s="3">
        <v>0</v>
      </c>
      <c r="L237" s="3">
        <v>1</v>
      </c>
      <c r="M237" s="8">
        <f>IF(LEFT(tbl_timesheet[[#This Row],[Activity]],1)="5",tbl_timesheet[[#This Row],[Total]],0)</f>
        <v>1</v>
      </c>
      <c r="N237" s="8">
        <f>IF(LEFT(tbl_timesheet[[#This Row],[Activity]],1)="6",tbl_timesheet[[#This Row],[Total]],0)</f>
        <v>0</v>
      </c>
    </row>
    <row r="238" spans="1:14" x14ac:dyDescent="0.25">
      <c r="A238" s="2">
        <v>43373</v>
      </c>
      <c r="B238" s="8">
        <v>18234023</v>
      </c>
      <c r="C238" s="1" t="s">
        <v>88</v>
      </c>
      <c r="D238" s="1"/>
      <c r="E238" s="3">
        <v>0</v>
      </c>
      <c r="F238" s="3">
        <v>0</v>
      </c>
      <c r="G238" s="3">
        <v>0</v>
      </c>
      <c r="H238" s="3">
        <v>3</v>
      </c>
      <c r="I238" s="3">
        <v>1</v>
      </c>
      <c r="J238" s="3">
        <v>0</v>
      </c>
      <c r="K238" s="3">
        <v>0</v>
      </c>
      <c r="L238" s="3">
        <v>4</v>
      </c>
      <c r="M238" s="8">
        <f>IF(LEFT(tbl_timesheet[[#This Row],[Activity]],1)="5",tbl_timesheet[[#This Row],[Total]],0)</f>
        <v>4</v>
      </c>
      <c r="N238" s="8">
        <f>IF(LEFT(tbl_timesheet[[#This Row],[Activity]],1)="6",tbl_timesheet[[#This Row],[Total]],0)</f>
        <v>0</v>
      </c>
    </row>
    <row r="239" spans="1:14" x14ac:dyDescent="0.25">
      <c r="A239" s="2">
        <v>43373</v>
      </c>
      <c r="B239" s="8">
        <v>18234023</v>
      </c>
      <c r="C239" s="1" t="s">
        <v>30</v>
      </c>
      <c r="D239" s="1"/>
      <c r="E239" s="3">
        <v>0</v>
      </c>
      <c r="F239" s="3">
        <v>0</v>
      </c>
      <c r="G239" s="3">
        <v>0</v>
      </c>
      <c r="H239" s="3">
        <v>4</v>
      </c>
      <c r="I239" s="3">
        <v>2</v>
      </c>
      <c r="J239" s="3">
        <v>0</v>
      </c>
      <c r="K239" s="3">
        <v>0</v>
      </c>
      <c r="L239" s="3">
        <v>6</v>
      </c>
      <c r="M239" s="8">
        <f>IF(LEFT(tbl_timesheet[[#This Row],[Activity]],1)="5",tbl_timesheet[[#This Row],[Total]],0)</f>
        <v>0</v>
      </c>
      <c r="N239" s="8">
        <f>IF(LEFT(tbl_timesheet[[#This Row],[Activity]],1)="6",tbl_timesheet[[#This Row],[Total]],0)</f>
        <v>6</v>
      </c>
    </row>
    <row r="240" spans="1:14" x14ac:dyDescent="0.25">
      <c r="A240" s="2">
        <v>43373</v>
      </c>
      <c r="B240" s="8">
        <v>18234023</v>
      </c>
      <c r="C240" s="1" t="s">
        <v>24</v>
      </c>
      <c r="D240" s="1"/>
      <c r="E240" s="3">
        <v>0</v>
      </c>
      <c r="F240" s="3">
        <v>0.5</v>
      </c>
      <c r="G240" s="3">
        <v>0</v>
      </c>
      <c r="H240" s="3">
        <v>0</v>
      </c>
      <c r="I240" s="3">
        <v>0</v>
      </c>
      <c r="J240" s="3">
        <v>0</v>
      </c>
      <c r="K240" s="3">
        <v>0</v>
      </c>
      <c r="L240" s="3">
        <v>0.5</v>
      </c>
      <c r="M240" s="8">
        <f>IF(LEFT(tbl_timesheet[[#This Row],[Activity]],1)="5",tbl_timesheet[[#This Row],[Total]],0)</f>
        <v>0</v>
      </c>
      <c r="N240" s="8">
        <f>IF(LEFT(tbl_timesheet[[#This Row],[Activity]],1)="6",tbl_timesheet[[#This Row],[Total]],0)</f>
        <v>0.5</v>
      </c>
    </row>
    <row r="241" spans="1:14" x14ac:dyDescent="0.25">
      <c r="A241" s="2">
        <v>43373</v>
      </c>
      <c r="B241" s="8">
        <v>18261048</v>
      </c>
      <c r="C241" s="1" t="s">
        <v>5</v>
      </c>
      <c r="D241" s="1"/>
      <c r="E241" s="3">
        <v>5</v>
      </c>
      <c r="F241" s="3">
        <v>0</v>
      </c>
      <c r="G241" s="3">
        <v>0</v>
      </c>
      <c r="H241" s="3">
        <v>0</v>
      </c>
      <c r="I241" s="3">
        <v>0</v>
      </c>
      <c r="J241" s="3">
        <v>0</v>
      </c>
      <c r="K241" s="3">
        <v>0</v>
      </c>
      <c r="L241" s="3">
        <v>5</v>
      </c>
      <c r="M241" s="8">
        <f>IF(LEFT(tbl_timesheet[[#This Row],[Activity]],1)="5",tbl_timesheet[[#This Row],[Total]],0)</f>
        <v>0</v>
      </c>
      <c r="N241" s="8">
        <f>IF(LEFT(tbl_timesheet[[#This Row],[Activity]],1)="6",tbl_timesheet[[#This Row],[Total]],0)</f>
        <v>5</v>
      </c>
    </row>
    <row r="242" spans="1:14" x14ac:dyDescent="0.25">
      <c r="A242" s="2">
        <v>43373</v>
      </c>
      <c r="B242" s="8">
        <v>18261048</v>
      </c>
      <c r="C242" s="1" t="s">
        <v>28</v>
      </c>
      <c r="D242" s="1"/>
      <c r="E242" s="3">
        <v>4</v>
      </c>
      <c r="F242" s="3">
        <v>0</v>
      </c>
      <c r="G242" s="3">
        <v>0</v>
      </c>
      <c r="H242" s="3">
        <v>0</v>
      </c>
      <c r="I242" s="3">
        <v>0</v>
      </c>
      <c r="J242" s="3">
        <v>0</v>
      </c>
      <c r="K242" s="3">
        <v>0</v>
      </c>
      <c r="L242" s="3">
        <v>4</v>
      </c>
      <c r="M242" s="8">
        <f>IF(LEFT(tbl_timesheet[[#This Row],[Activity]],1)="5",tbl_timesheet[[#This Row],[Total]],0)</f>
        <v>0</v>
      </c>
      <c r="N242" s="8">
        <f>IF(LEFT(tbl_timesheet[[#This Row],[Activity]],1)="6",tbl_timesheet[[#This Row],[Total]],0)</f>
        <v>4</v>
      </c>
    </row>
    <row r="243" spans="1:14" x14ac:dyDescent="0.25">
      <c r="A243" s="2">
        <v>43373</v>
      </c>
      <c r="B243" s="8">
        <v>18261059</v>
      </c>
      <c r="C243" s="1" t="s">
        <v>28</v>
      </c>
      <c r="D243" s="1"/>
      <c r="E243" s="3">
        <v>0</v>
      </c>
      <c r="F243" s="3">
        <v>0</v>
      </c>
      <c r="G243" s="3">
        <v>2</v>
      </c>
      <c r="H243" s="3">
        <v>0</v>
      </c>
      <c r="I243" s="3">
        <v>0</v>
      </c>
      <c r="J243" s="3">
        <v>0</v>
      </c>
      <c r="K243" s="3">
        <v>0</v>
      </c>
      <c r="L243" s="3">
        <v>2</v>
      </c>
      <c r="M243" s="8">
        <f>IF(LEFT(tbl_timesheet[[#This Row],[Activity]],1)="5",tbl_timesheet[[#This Row],[Total]],0)</f>
        <v>0</v>
      </c>
      <c r="N243" s="8">
        <f>IF(LEFT(tbl_timesheet[[#This Row],[Activity]],1)="6",tbl_timesheet[[#This Row],[Total]],0)</f>
        <v>2</v>
      </c>
    </row>
    <row r="244" spans="1:14" x14ac:dyDescent="0.25">
      <c r="A244" s="2">
        <v>43373</v>
      </c>
      <c r="B244" s="8">
        <v>18261059</v>
      </c>
      <c r="C244" s="1" t="s">
        <v>5</v>
      </c>
      <c r="D244" s="1"/>
      <c r="E244" s="3">
        <v>0</v>
      </c>
      <c r="F244" s="3">
        <v>0</v>
      </c>
      <c r="G244" s="3">
        <v>6</v>
      </c>
      <c r="H244" s="3">
        <v>5</v>
      </c>
      <c r="I244" s="3">
        <v>0</v>
      </c>
      <c r="J244" s="3">
        <v>0</v>
      </c>
      <c r="K244" s="3">
        <v>0</v>
      </c>
      <c r="L244" s="3">
        <v>11</v>
      </c>
      <c r="M244" s="8">
        <f>IF(LEFT(tbl_timesheet[[#This Row],[Activity]],1)="5",tbl_timesheet[[#This Row],[Total]],0)</f>
        <v>0</v>
      </c>
      <c r="N244" s="8">
        <f>IF(LEFT(tbl_timesheet[[#This Row],[Activity]],1)="6",tbl_timesheet[[#This Row],[Total]],0)</f>
        <v>11</v>
      </c>
    </row>
    <row r="245" spans="1:14" x14ac:dyDescent="0.25">
      <c r="A245" s="2">
        <v>43380</v>
      </c>
      <c r="B245" s="8">
        <v>18000000</v>
      </c>
      <c r="C245" s="1" t="s">
        <v>89</v>
      </c>
      <c r="D245" s="1"/>
      <c r="E245" s="3">
        <v>0</v>
      </c>
      <c r="F245" s="3">
        <v>0</v>
      </c>
      <c r="G245" s="3">
        <v>0</v>
      </c>
      <c r="H245" s="3">
        <v>0</v>
      </c>
      <c r="I245" s="3">
        <v>5</v>
      </c>
      <c r="J245" s="3">
        <v>0</v>
      </c>
      <c r="K245" s="3">
        <v>0</v>
      </c>
      <c r="L245" s="3">
        <v>5</v>
      </c>
      <c r="M245" s="8">
        <f>IF(LEFT(tbl_timesheet[[#This Row],[Activity]],1)="5",tbl_timesheet[[#This Row],[Total]],0)</f>
        <v>0</v>
      </c>
      <c r="N245" s="8">
        <f>IF(LEFT(tbl_timesheet[[#This Row],[Activity]],1)="6",tbl_timesheet[[#This Row],[Total]],0)</f>
        <v>5</v>
      </c>
    </row>
    <row r="246" spans="1:14" x14ac:dyDescent="0.25">
      <c r="A246" s="2">
        <v>43380</v>
      </c>
      <c r="B246" s="8">
        <v>18234009</v>
      </c>
      <c r="C246" s="1" t="s">
        <v>90</v>
      </c>
      <c r="D246" s="1"/>
      <c r="E246" s="3">
        <v>0</v>
      </c>
      <c r="F246" s="3">
        <v>1</v>
      </c>
      <c r="G246" s="3">
        <v>2</v>
      </c>
      <c r="H246" s="3">
        <v>0</v>
      </c>
      <c r="I246" s="3">
        <v>0</v>
      </c>
      <c r="J246" s="3">
        <v>0</v>
      </c>
      <c r="K246" s="3">
        <v>0</v>
      </c>
      <c r="L246" s="3">
        <v>3</v>
      </c>
      <c r="M246" s="8">
        <f>IF(LEFT(tbl_timesheet[[#This Row],[Activity]],1)="5",tbl_timesheet[[#This Row],[Total]],0)</f>
        <v>3</v>
      </c>
      <c r="N246" s="8">
        <f>IF(LEFT(tbl_timesheet[[#This Row],[Activity]],1)="6",tbl_timesheet[[#This Row],[Total]],0)</f>
        <v>0</v>
      </c>
    </row>
    <row r="247" spans="1:14" x14ac:dyDescent="0.25">
      <c r="A247" s="2">
        <v>43380</v>
      </c>
      <c r="B247" s="8">
        <v>18234009</v>
      </c>
      <c r="C247" s="1" t="s">
        <v>91</v>
      </c>
      <c r="D247" s="1"/>
      <c r="E247" s="3">
        <v>0</v>
      </c>
      <c r="F247" s="3">
        <v>0</v>
      </c>
      <c r="G247" s="3">
        <v>2</v>
      </c>
      <c r="H247" s="3">
        <v>0</v>
      </c>
      <c r="I247" s="3">
        <v>0</v>
      </c>
      <c r="J247" s="3">
        <v>0</v>
      </c>
      <c r="K247" s="3">
        <v>0</v>
      </c>
      <c r="L247" s="3">
        <v>2</v>
      </c>
      <c r="M247" s="8">
        <f>IF(LEFT(tbl_timesheet[[#This Row],[Activity]],1)="5",tbl_timesheet[[#This Row],[Total]],0)</f>
        <v>2</v>
      </c>
      <c r="N247" s="8">
        <f>IF(LEFT(tbl_timesheet[[#This Row],[Activity]],1)="6",tbl_timesheet[[#This Row],[Total]],0)</f>
        <v>0</v>
      </c>
    </row>
    <row r="248" spans="1:14" x14ac:dyDescent="0.25">
      <c r="A248" s="2">
        <v>43380</v>
      </c>
      <c r="B248" s="8">
        <v>18234022</v>
      </c>
      <c r="C248" s="1" t="s">
        <v>28</v>
      </c>
      <c r="D248" s="1"/>
      <c r="E248" s="3">
        <v>0</v>
      </c>
      <c r="F248" s="3">
        <v>0</v>
      </c>
      <c r="G248" s="3">
        <v>2</v>
      </c>
      <c r="H248" s="3">
        <v>0</v>
      </c>
      <c r="I248" s="3">
        <v>0</v>
      </c>
      <c r="J248" s="3">
        <v>0</v>
      </c>
      <c r="K248" s="3">
        <v>0</v>
      </c>
      <c r="L248" s="3">
        <v>2</v>
      </c>
      <c r="M248" s="8">
        <f>IF(LEFT(tbl_timesheet[[#This Row],[Activity]],1)="5",tbl_timesheet[[#This Row],[Total]],0)</f>
        <v>0</v>
      </c>
      <c r="N248" s="8">
        <f>IF(LEFT(tbl_timesheet[[#This Row],[Activity]],1)="6",tbl_timesheet[[#This Row],[Total]],0)</f>
        <v>2</v>
      </c>
    </row>
    <row r="249" spans="1:14" x14ac:dyDescent="0.25">
      <c r="A249" s="2">
        <v>43380</v>
      </c>
      <c r="B249" s="8">
        <v>18234022</v>
      </c>
      <c r="C249" s="1" t="s">
        <v>18</v>
      </c>
      <c r="D249" s="1"/>
      <c r="E249" s="3">
        <v>0</v>
      </c>
      <c r="F249" s="3">
        <v>4</v>
      </c>
      <c r="G249" s="3">
        <v>0</v>
      </c>
      <c r="H249" s="3">
        <v>0</v>
      </c>
      <c r="I249" s="3">
        <v>0</v>
      </c>
      <c r="J249" s="3">
        <v>0</v>
      </c>
      <c r="K249" s="3">
        <v>0</v>
      </c>
      <c r="L249" s="3">
        <v>4</v>
      </c>
      <c r="M249" s="8">
        <f>IF(LEFT(tbl_timesheet[[#This Row],[Activity]],1)="5",tbl_timesheet[[#This Row],[Total]],0)</f>
        <v>0</v>
      </c>
      <c r="N249" s="8">
        <f>IF(LEFT(tbl_timesheet[[#This Row],[Activity]],1)="6",tbl_timesheet[[#This Row],[Total]],0)</f>
        <v>4</v>
      </c>
    </row>
    <row r="250" spans="1:14" x14ac:dyDescent="0.25">
      <c r="A250" s="2">
        <v>43380</v>
      </c>
      <c r="B250" s="8">
        <v>18234022</v>
      </c>
      <c r="C250" s="1" t="s">
        <v>5</v>
      </c>
      <c r="D250" s="1"/>
      <c r="E250" s="3">
        <v>0</v>
      </c>
      <c r="F250" s="3">
        <v>5</v>
      </c>
      <c r="G250" s="3">
        <v>0</v>
      </c>
      <c r="H250" s="3">
        <v>0</v>
      </c>
      <c r="I250" s="3">
        <v>0</v>
      </c>
      <c r="J250" s="3">
        <v>0</v>
      </c>
      <c r="K250" s="3">
        <v>0</v>
      </c>
      <c r="L250" s="3">
        <v>5</v>
      </c>
      <c r="M250" s="8">
        <f>IF(LEFT(tbl_timesheet[[#This Row],[Activity]],1)="5",tbl_timesheet[[#This Row],[Total]],0)</f>
        <v>0</v>
      </c>
      <c r="N250" s="8">
        <f>IF(LEFT(tbl_timesheet[[#This Row],[Activity]],1)="6",tbl_timesheet[[#This Row],[Total]],0)</f>
        <v>5</v>
      </c>
    </row>
    <row r="251" spans="1:14" x14ac:dyDescent="0.25">
      <c r="A251" s="2">
        <v>43380</v>
      </c>
      <c r="B251" s="8">
        <v>18234022</v>
      </c>
      <c r="C251" s="1" t="s">
        <v>6</v>
      </c>
      <c r="D251" s="1"/>
      <c r="E251" s="3">
        <v>0</v>
      </c>
      <c r="F251" s="3">
        <v>0</v>
      </c>
      <c r="G251" s="3">
        <v>4</v>
      </c>
      <c r="H251" s="3">
        <v>0</v>
      </c>
      <c r="I251" s="3">
        <v>0</v>
      </c>
      <c r="J251" s="3">
        <v>0</v>
      </c>
      <c r="K251" s="3">
        <v>0</v>
      </c>
      <c r="L251" s="3">
        <v>4</v>
      </c>
      <c r="M251" s="8">
        <f>IF(LEFT(tbl_timesheet[[#This Row],[Activity]],1)="5",tbl_timesheet[[#This Row],[Total]],0)</f>
        <v>0</v>
      </c>
      <c r="N251" s="8">
        <f>IF(LEFT(tbl_timesheet[[#This Row],[Activity]],1)="6",tbl_timesheet[[#This Row],[Total]],0)</f>
        <v>4</v>
      </c>
    </row>
    <row r="252" spans="1:14" x14ac:dyDescent="0.25">
      <c r="A252" s="2">
        <v>43380</v>
      </c>
      <c r="B252" s="8">
        <v>18234022</v>
      </c>
      <c r="C252" s="1" t="s">
        <v>79</v>
      </c>
      <c r="D252" s="1"/>
      <c r="E252" s="3">
        <v>0</v>
      </c>
      <c r="F252" s="3">
        <v>0</v>
      </c>
      <c r="G252" s="3">
        <v>0</v>
      </c>
      <c r="H252" s="3">
        <v>5</v>
      </c>
      <c r="I252" s="3">
        <v>0</v>
      </c>
      <c r="J252" s="3">
        <v>0</v>
      </c>
      <c r="K252" s="3">
        <v>0</v>
      </c>
      <c r="L252" s="3">
        <v>5</v>
      </c>
      <c r="M252" s="8">
        <f>IF(LEFT(tbl_timesheet[[#This Row],[Activity]],1)="5",tbl_timesheet[[#This Row],[Total]],0)</f>
        <v>0</v>
      </c>
      <c r="N252" s="8">
        <f>IF(LEFT(tbl_timesheet[[#This Row],[Activity]],1)="6",tbl_timesheet[[#This Row],[Total]],0)</f>
        <v>5</v>
      </c>
    </row>
    <row r="253" spans="1:14" x14ac:dyDescent="0.25">
      <c r="A253" s="2">
        <v>43380</v>
      </c>
      <c r="B253" s="8">
        <v>18261048</v>
      </c>
      <c r="C253" s="1" t="s">
        <v>16</v>
      </c>
      <c r="D253" s="1"/>
      <c r="E253" s="3">
        <v>4</v>
      </c>
      <c r="F253" s="3">
        <v>0</v>
      </c>
      <c r="G253" s="3">
        <v>0</v>
      </c>
      <c r="H253" s="3">
        <v>0</v>
      </c>
      <c r="I253" s="3">
        <v>0</v>
      </c>
      <c r="J253" s="3">
        <v>0</v>
      </c>
      <c r="K253" s="3">
        <v>0</v>
      </c>
      <c r="L253" s="3">
        <v>4</v>
      </c>
      <c r="M253" s="8">
        <f>IF(LEFT(tbl_timesheet[[#This Row],[Activity]],1)="5",tbl_timesheet[[#This Row],[Total]],0)</f>
        <v>0</v>
      </c>
      <c r="N253" s="8">
        <f>IF(LEFT(tbl_timesheet[[#This Row],[Activity]],1)="6",tbl_timesheet[[#This Row],[Total]],0)</f>
        <v>4</v>
      </c>
    </row>
    <row r="254" spans="1:14" x14ac:dyDescent="0.25">
      <c r="A254" s="2">
        <v>43380</v>
      </c>
      <c r="B254" s="8">
        <v>18261059</v>
      </c>
      <c r="C254" s="1" t="s">
        <v>16</v>
      </c>
      <c r="D254" s="1"/>
      <c r="E254" s="3">
        <v>4</v>
      </c>
      <c r="F254" s="3">
        <v>0</v>
      </c>
      <c r="G254" s="3">
        <v>0</v>
      </c>
      <c r="H254" s="3">
        <v>0</v>
      </c>
      <c r="I254" s="3">
        <v>0</v>
      </c>
      <c r="J254" s="3">
        <v>0</v>
      </c>
      <c r="K254" s="3">
        <v>0</v>
      </c>
      <c r="L254" s="3">
        <v>4</v>
      </c>
      <c r="M254" s="8">
        <f>IF(LEFT(tbl_timesheet[[#This Row],[Activity]],1)="5",tbl_timesheet[[#This Row],[Total]],0)</f>
        <v>0</v>
      </c>
      <c r="N254" s="8">
        <f>IF(LEFT(tbl_timesheet[[#This Row],[Activity]],1)="6",tbl_timesheet[[#This Row],[Total]],0)</f>
        <v>4</v>
      </c>
    </row>
    <row r="255" spans="1:14" x14ac:dyDescent="0.25">
      <c r="A255" s="2">
        <v>43380</v>
      </c>
      <c r="B255" s="8">
        <v>18261059</v>
      </c>
      <c r="C255" s="1" t="s">
        <v>86</v>
      </c>
      <c r="D255" s="1"/>
      <c r="E255" s="3">
        <v>2</v>
      </c>
      <c r="F255" s="3">
        <v>0</v>
      </c>
      <c r="G255" s="3">
        <v>0</v>
      </c>
      <c r="H255" s="3">
        <v>0</v>
      </c>
      <c r="I255" s="3">
        <v>0</v>
      </c>
      <c r="J255" s="3">
        <v>0</v>
      </c>
      <c r="K255" s="3">
        <v>0</v>
      </c>
      <c r="L255" s="3">
        <v>2</v>
      </c>
      <c r="M255" s="8">
        <f>IF(LEFT(tbl_timesheet[[#This Row],[Activity]],1)="5",tbl_timesheet[[#This Row],[Total]],0)</f>
        <v>2</v>
      </c>
      <c r="N255" s="8">
        <f>IF(LEFT(tbl_timesheet[[#This Row],[Activity]],1)="6",tbl_timesheet[[#This Row],[Total]],0)</f>
        <v>0</v>
      </c>
    </row>
    <row r="256" spans="1:14" x14ac:dyDescent="0.25">
      <c r="A256" s="2">
        <v>43387</v>
      </c>
      <c r="B256" s="8">
        <v>18234009</v>
      </c>
      <c r="C256" s="1" t="s">
        <v>5</v>
      </c>
      <c r="D256" s="1"/>
      <c r="E256" s="3">
        <v>0</v>
      </c>
      <c r="F256" s="3">
        <v>10</v>
      </c>
      <c r="G256" s="3">
        <v>0</v>
      </c>
      <c r="H256" s="3">
        <v>0</v>
      </c>
      <c r="I256" s="3">
        <v>0</v>
      </c>
      <c r="J256" s="3">
        <v>0</v>
      </c>
      <c r="K256" s="3">
        <v>0</v>
      </c>
      <c r="L256" s="3">
        <v>10</v>
      </c>
      <c r="M256" s="8">
        <f>IF(LEFT(tbl_timesheet[[#This Row],[Activity]],1)="5",tbl_timesheet[[#This Row],[Total]],0)</f>
        <v>0</v>
      </c>
      <c r="N256" s="8">
        <f>IF(LEFT(tbl_timesheet[[#This Row],[Activity]],1)="6",tbl_timesheet[[#This Row],[Total]],0)</f>
        <v>10</v>
      </c>
    </row>
    <row r="257" spans="1:14" x14ac:dyDescent="0.25">
      <c r="A257" s="2">
        <v>43387</v>
      </c>
      <c r="B257" s="8">
        <v>18234012</v>
      </c>
      <c r="C257" s="1" t="s">
        <v>5</v>
      </c>
      <c r="D257" s="1"/>
      <c r="E257" s="3">
        <v>0</v>
      </c>
      <c r="F257" s="3">
        <v>0</v>
      </c>
      <c r="G257" s="3">
        <v>10</v>
      </c>
      <c r="H257" s="3">
        <v>0</v>
      </c>
      <c r="I257" s="3">
        <v>0</v>
      </c>
      <c r="J257" s="3">
        <v>0</v>
      </c>
      <c r="K257" s="3">
        <v>0</v>
      </c>
      <c r="L257" s="3">
        <v>10</v>
      </c>
      <c r="M257" s="8">
        <f>IF(LEFT(tbl_timesheet[[#This Row],[Activity]],1)="5",tbl_timesheet[[#This Row],[Total]],0)</f>
        <v>0</v>
      </c>
      <c r="N257" s="8">
        <f>IF(LEFT(tbl_timesheet[[#This Row],[Activity]],1)="6",tbl_timesheet[[#This Row],[Total]],0)</f>
        <v>10</v>
      </c>
    </row>
    <row r="258" spans="1:14" x14ac:dyDescent="0.25">
      <c r="A258" s="2">
        <v>43387</v>
      </c>
      <c r="B258" s="8">
        <v>18234022</v>
      </c>
      <c r="C258" s="1" t="s">
        <v>5</v>
      </c>
      <c r="D258" s="1"/>
      <c r="E258" s="3">
        <v>10</v>
      </c>
      <c r="F258" s="3">
        <v>0</v>
      </c>
      <c r="G258" s="3">
        <v>0</v>
      </c>
      <c r="H258" s="3">
        <v>0</v>
      </c>
      <c r="I258" s="3">
        <v>0</v>
      </c>
      <c r="J258" s="3">
        <v>0</v>
      </c>
      <c r="K258" s="3">
        <v>0</v>
      </c>
      <c r="L258" s="3">
        <v>10</v>
      </c>
      <c r="M258" s="8">
        <f>IF(LEFT(tbl_timesheet[[#This Row],[Activity]],1)="5",tbl_timesheet[[#This Row],[Total]],0)</f>
        <v>0</v>
      </c>
      <c r="N258" s="8">
        <f>IF(LEFT(tbl_timesheet[[#This Row],[Activity]],1)="6",tbl_timesheet[[#This Row],[Total]],0)</f>
        <v>10</v>
      </c>
    </row>
    <row r="259" spans="1:14" x14ac:dyDescent="0.25">
      <c r="A259" s="2">
        <v>43387</v>
      </c>
      <c r="B259" s="8">
        <v>18234023</v>
      </c>
      <c r="C259" s="1" t="s">
        <v>5</v>
      </c>
      <c r="D259" s="1"/>
      <c r="E259" s="3">
        <v>0</v>
      </c>
      <c r="F259" s="3">
        <v>0</v>
      </c>
      <c r="G259" s="3">
        <v>0</v>
      </c>
      <c r="H259" s="3">
        <v>10</v>
      </c>
      <c r="I259" s="3">
        <v>0</v>
      </c>
      <c r="J259" s="3">
        <v>0</v>
      </c>
      <c r="K259" s="3">
        <v>0</v>
      </c>
      <c r="L259" s="3">
        <v>10</v>
      </c>
      <c r="M259" s="8">
        <f>IF(LEFT(tbl_timesheet[[#This Row],[Activity]],1)="5",tbl_timesheet[[#This Row],[Total]],0)</f>
        <v>0</v>
      </c>
      <c r="N259" s="8">
        <f>IF(LEFT(tbl_timesheet[[#This Row],[Activity]],1)="6",tbl_timesheet[[#This Row],[Total]],0)</f>
        <v>10</v>
      </c>
    </row>
    <row r="260" spans="1:14" x14ac:dyDescent="0.25">
      <c r="A260" s="2">
        <v>43387</v>
      </c>
      <c r="B260" s="8">
        <v>18261059</v>
      </c>
      <c r="C260" s="1" t="s">
        <v>5</v>
      </c>
      <c r="D260" s="1"/>
      <c r="E260" s="3">
        <v>0</v>
      </c>
      <c r="F260" s="3">
        <v>0</v>
      </c>
      <c r="G260" s="3">
        <v>0</v>
      </c>
      <c r="H260" s="3">
        <v>0</v>
      </c>
      <c r="I260" s="3">
        <v>4</v>
      </c>
      <c r="J260" s="3">
        <v>0</v>
      </c>
      <c r="K260" s="3">
        <v>0</v>
      </c>
      <c r="L260" s="3">
        <v>4</v>
      </c>
      <c r="M260" s="8">
        <f>IF(LEFT(tbl_timesheet[[#This Row],[Activity]],1)="5",tbl_timesheet[[#This Row],[Total]],0)</f>
        <v>0</v>
      </c>
      <c r="N260" s="8">
        <f>IF(LEFT(tbl_timesheet[[#This Row],[Activity]],1)="6",tbl_timesheet[[#This Row],[Total]],0)</f>
        <v>4</v>
      </c>
    </row>
    <row r="261" spans="1:14" x14ac:dyDescent="0.25">
      <c r="A261" s="2">
        <v>43394</v>
      </c>
      <c r="B261" s="8">
        <v>18234009</v>
      </c>
      <c r="C261" s="1" t="s">
        <v>90</v>
      </c>
      <c r="D261" s="1"/>
      <c r="E261" s="3">
        <v>10</v>
      </c>
      <c r="F261" s="3">
        <v>0</v>
      </c>
      <c r="G261" s="3">
        <v>0</v>
      </c>
      <c r="H261" s="3">
        <v>0</v>
      </c>
      <c r="I261" s="3">
        <v>0</v>
      </c>
      <c r="J261" s="3">
        <v>0</v>
      </c>
      <c r="K261" s="3">
        <v>0</v>
      </c>
      <c r="L261" s="3">
        <v>10</v>
      </c>
      <c r="M261" s="8">
        <f>IF(LEFT(tbl_timesheet[[#This Row],[Activity]],1)="5",tbl_timesheet[[#This Row],[Total]],0)</f>
        <v>10</v>
      </c>
      <c r="N261" s="8">
        <f>IF(LEFT(tbl_timesheet[[#This Row],[Activity]],1)="6",tbl_timesheet[[#This Row],[Total]],0)</f>
        <v>0</v>
      </c>
    </row>
    <row r="262" spans="1:14" x14ac:dyDescent="0.25">
      <c r="A262" s="2">
        <v>43394</v>
      </c>
      <c r="B262" s="8">
        <v>18234012</v>
      </c>
      <c r="C262" s="1" t="s">
        <v>90</v>
      </c>
      <c r="D262" s="1"/>
      <c r="E262" s="3">
        <v>0</v>
      </c>
      <c r="F262" s="3">
        <v>10</v>
      </c>
      <c r="G262" s="3">
        <v>0</v>
      </c>
      <c r="H262" s="3">
        <v>0</v>
      </c>
      <c r="I262" s="3">
        <v>0</v>
      </c>
      <c r="J262" s="3">
        <v>0</v>
      </c>
      <c r="K262" s="3">
        <v>0</v>
      </c>
      <c r="L262" s="3">
        <v>10</v>
      </c>
      <c r="M262" s="8">
        <f>IF(LEFT(tbl_timesheet[[#This Row],[Activity]],1)="5",tbl_timesheet[[#This Row],[Total]],0)</f>
        <v>10</v>
      </c>
      <c r="N262" s="8">
        <f>IF(LEFT(tbl_timesheet[[#This Row],[Activity]],1)="6",tbl_timesheet[[#This Row],[Total]],0)</f>
        <v>0</v>
      </c>
    </row>
    <row r="263" spans="1:14" x14ac:dyDescent="0.25">
      <c r="A263" s="2">
        <v>43394</v>
      </c>
      <c r="B263" s="8">
        <v>18234022</v>
      </c>
      <c r="C263" s="1" t="s">
        <v>5</v>
      </c>
      <c r="D263" s="1"/>
      <c r="E263" s="3">
        <v>0</v>
      </c>
      <c r="F263" s="3">
        <v>0</v>
      </c>
      <c r="G263" s="3">
        <v>0</v>
      </c>
      <c r="H263" s="3">
        <v>5</v>
      </c>
      <c r="I263" s="3">
        <v>0</v>
      </c>
      <c r="J263" s="3">
        <v>0</v>
      </c>
      <c r="K263" s="3">
        <v>0</v>
      </c>
      <c r="L263" s="3">
        <v>5</v>
      </c>
      <c r="M263" s="8">
        <f>IF(LEFT(tbl_timesheet[[#This Row],[Activity]],1)="5",tbl_timesheet[[#This Row],[Total]],0)</f>
        <v>0</v>
      </c>
      <c r="N263" s="8">
        <f>IF(LEFT(tbl_timesheet[[#This Row],[Activity]],1)="6",tbl_timesheet[[#This Row],[Total]],0)</f>
        <v>5</v>
      </c>
    </row>
    <row r="264" spans="1:14" x14ac:dyDescent="0.25">
      <c r="A264" s="2">
        <v>43394</v>
      </c>
      <c r="B264" s="8">
        <v>18234022</v>
      </c>
      <c r="C264" s="1" t="s">
        <v>18</v>
      </c>
      <c r="D264" s="1"/>
      <c r="E264" s="3">
        <v>0</v>
      </c>
      <c r="F264" s="3">
        <v>0</v>
      </c>
      <c r="G264" s="3">
        <v>0</v>
      </c>
      <c r="H264" s="3">
        <v>5</v>
      </c>
      <c r="I264" s="3">
        <v>0</v>
      </c>
      <c r="J264" s="3">
        <v>0</v>
      </c>
      <c r="K264" s="3">
        <v>0</v>
      </c>
      <c r="L264" s="3">
        <v>5</v>
      </c>
      <c r="M264" s="8">
        <f>IF(LEFT(tbl_timesheet[[#This Row],[Activity]],1)="5",tbl_timesheet[[#This Row],[Total]],0)</f>
        <v>0</v>
      </c>
      <c r="N264" s="8">
        <f>IF(LEFT(tbl_timesheet[[#This Row],[Activity]],1)="6",tbl_timesheet[[#This Row],[Total]],0)</f>
        <v>5</v>
      </c>
    </row>
    <row r="265" spans="1:14" x14ac:dyDescent="0.25">
      <c r="A265" s="2">
        <v>43394</v>
      </c>
      <c r="B265" s="8">
        <v>18234023</v>
      </c>
      <c r="C265" s="1" t="s">
        <v>90</v>
      </c>
      <c r="D265" s="1"/>
      <c r="E265" s="3">
        <v>0</v>
      </c>
      <c r="F265" s="3">
        <v>0</v>
      </c>
      <c r="G265" s="3">
        <v>10</v>
      </c>
      <c r="H265" s="3">
        <v>0</v>
      </c>
      <c r="I265" s="3">
        <v>0</v>
      </c>
      <c r="J265" s="3">
        <v>0</v>
      </c>
      <c r="K265" s="3">
        <v>0</v>
      </c>
      <c r="L265" s="3">
        <v>10</v>
      </c>
      <c r="M265" s="8">
        <f>IF(LEFT(tbl_timesheet[[#This Row],[Activity]],1)="5",tbl_timesheet[[#This Row],[Total]],0)</f>
        <v>10</v>
      </c>
      <c r="N265" s="8">
        <f>IF(LEFT(tbl_timesheet[[#This Row],[Activity]],1)="6",tbl_timesheet[[#This Row],[Total]],0)</f>
        <v>0</v>
      </c>
    </row>
    <row r="266" spans="1:14" x14ac:dyDescent="0.25">
      <c r="A266" s="2">
        <v>43401</v>
      </c>
      <c r="B266" s="8">
        <v>18234009</v>
      </c>
      <c r="C266" s="1" t="s">
        <v>85</v>
      </c>
      <c r="D266" s="1"/>
      <c r="E266" s="3">
        <v>0</v>
      </c>
      <c r="F266" s="3">
        <v>1</v>
      </c>
      <c r="G266" s="3">
        <v>0</v>
      </c>
      <c r="H266" s="3">
        <v>0</v>
      </c>
      <c r="I266" s="3">
        <v>0</v>
      </c>
      <c r="J266" s="3">
        <v>0</v>
      </c>
      <c r="K266" s="3">
        <v>0</v>
      </c>
      <c r="L266" s="3">
        <v>1</v>
      </c>
      <c r="M266" s="8">
        <f>IF(LEFT(tbl_timesheet[[#This Row],[Activity]],1)="5",tbl_timesheet[[#This Row],[Total]],0)</f>
        <v>1</v>
      </c>
      <c r="N266" s="8">
        <f>IF(LEFT(tbl_timesheet[[#This Row],[Activity]],1)="6",tbl_timesheet[[#This Row],[Total]],0)</f>
        <v>0</v>
      </c>
    </row>
    <row r="267" spans="1:14" x14ac:dyDescent="0.25">
      <c r="A267" s="2">
        <v>43401</v>
      </c>
      <c r="B267" s="8">
        <v>18234009</v>
      </c>
      <c r="C267" s="1" t="s">
        <v>86</v>
      </c>
      <c r="D267" s="1"/>
      <c r="E267" s="3">
        <v>2</v>
      </c>
      <c r="F267" s="3">
        <v>0</v>
      </c>
      <c r="G267" s="3">
        <v>5</v>
      </c>
      <c r="H267" s="3">
        <v>0</v>
      </c>
      <c r="I267" s="3">
        <v>0</v>
      </c>
      <c r="J267" s="3">
        <v>0</v>
      </c>
      <c r="K267" s="3">
        <v>0</v>
      </c>
      <c r="L267" s="3">
        <v>7</v>
      </c>
      <c r="M267" s="8">
        <f>IF(LEFT(tbl_timesheet[[#This Row],[Activity]],1)="5",tbl_timesheet[[#This Row],[Total]],0)</f>
        <v>7</v>
      </c>
      <c r="N267" s="8">
        <f>IF(LEFT(tbl_timesheet[[#This Row],[Activity]],1)="6",tbl_timesheet[[#This Row],[Total]],0)</f>
        <v>0</v>
      </c>
    </row>
    <row r="268" spans="1:14" x14ac:dyDescent="0.25">
      <c r="A268" s="2">
        <v>43401</v>
      </c>
      <c r="B268" s="8">
        <v>18234012</v>
      </c>
      <c r="C268" s="1" t="s">
        <v>86</v>
      </c>
      <c r="D268" s="1"/>
      <c r="E268" s="3">
        <v>2</v>
      </c>
      <c r="F268" s="3">
        <v>0</v>
      </c>
      <c r="G268" s="3">
        <v>0</v>
      </c>
      <c r="H268" s="3">
        <v>5</v>
      </c>
      <c r="I268" s="3">
        <v>0</v>
      </c>
      <c r="J268" s="3">
        <v>0</v>
      </c>
      <c r="K268" s="3">
        <v>0</v>
      </c>
      <c r="L268" s="3">
        <v>7</v>
      </c>
      <c r="M268" s="8">
        <f>IF(LEFT(tbl_timesheet[[#This Row],[Activity]],1)="5",tbl_timesheet[[#This Row],[Total]],0)</f>
        <v>7</v>
      </c>
      <c r="N268" s="8">
        <f>IF(LEFT(tbl_timesheet[[#This Row],[Activity]],1)="6",tbl_timesheet[[#This Row],[Total]],0)</f>
        <v>0</v>
      </c>
    </row>
    <row r="269" spans="1:14" x14ac:dyDescent="0.25">
      <c r="A269" s="2">
        <v>43401</v>
      </c>
      <c r="B269" s="8">
        <v>18234012</v>
      </c>
      <c r="C269" s="1" t="s">
        <v>85</v>
      </c>
      <c r="D269" s="1"/>
      <c r="E269" s="3">
        <v>0</v>
      </c>
      <c r="F269" s="3">
        <v>2</v>
      </c>
      <c r="G269" s="3">
        <v>0</v>
      </c>
      <c r="H269" s="3">
        <v>0</v>
      </c>
      <c r="I269" s="3">
        <v>0</v>
      </c>
      <c r="J269" s="3">
        <v>0</v>
      </c>
      <c r="K269" s="3">
        <v>0</v>
      </c>
      <c r="L269" s="3">
        <v>2</v>
      </c>
      <c r="M269" s="8">
        <f>IF(LEFT(tbl_timesheet[[#This Row],[Activity]],1)="5",tbl_timesheet[[#This Row],[Total]],0)</f>
        <v>2</v>
      </c>
      <c r="N269" s="8">
        <f>IF(LEFT(tbl_timesheet[[#This Row],[Activity]],1)="6",tbl_timesheet[[#This Row],[Total]],0)</f>
        <v>0</v>
      </c>
    </row>
    <row r="270" spans="1:14" x14ac:dyDescent="0.25">
      <c r="A270" s="2">
        <v>43401</v>
      </c>
      <c r="B270" s="8">
        <v>18234022</v>
      </c>
      <c r="C270" s="1" t="s">
        <v>16</v>
      </c>
      <c r="D270" s="1"/>
      <c r="E270" s="3">
        <v>6</v>
      </c>
      <c r="F270" s="3">
        <v>0</v>
      </c>
      <c r="G270" s="3">
        <v>0</v>
      </c>
      <c r="H270" s="3">
        <v>0</v>
      </c>
      <c r="I270" s="3">
        <v>0</v>
      </c>
      <c r="J270" s="3">
        <v>0</v>
      </c>
      <c r="K270" s="3">
        <v>0</v>
      </c>
      <c r="L270" s="3">
        <v>6</v>
      </c>
      <c r="M270" s="8">
        <f>IF(LEFT(tbl_timesheet[[#This Row],[Activity]],1)="5",tbl_timesheet[[#This Row],[Total]],0)</f>
        <v>0</v>
      </c>
      <c r="N270" s="8">
        <f>IF(LEFT(tbl_timesheet[[#This Row],[Activity]],1)="6",tbl_timesheet[[#This Row],[Total]],0)</f>
        <v>6</v>
      </c>
    </row>
    <row r="271" spans="1:14" x14ac:dyDescent="0.25">
      <c r="A271" s="2">
        <v>43401</v>
      </c>
      <c r="B271" s="8">
        <v>18234023</v>
      </c>
      <c r="C271" s="1" t="s">
        <v>85</v>
      </c>
      <c r="D271" s="1"/>
      <c r="E271" s="3">
        <v>0</v>
      </c>
      <c r="F271" s="3">
        <v>1</v>
      </c>
      <c r="G271" s="3">
        <v>0</v>
      </c>
      <c r="H271" s="3">
        <v>0</v>
      </c>
      <c r="I271" s="3">
        <v>0</v>
      </c>
      <c r="J271" s="3">
        <v>0</v>
      </c>
      <c r="K271" s="3">
        <v>0</v>
      </c>
      <c r="L271" s="3">
        <v>1</v>
      </c>
      <c r="M271" s="8">
        <f>IF(LEFT(tbl_timesheet[[#This Row],[Activity]],1)="5",tbl_timesheet[[#This Row],[Total]],0)</f>
        <v>1</v>
      </c>
      <c r="N271" s="8">
        <f>IF(LEFT(tbl_timesheet[[#This Row],[Activity]],1)="6",tbl_timesheet[[#This Row],[Total]],0)</f>
        <v>0</v>
      </c>
    </row>
    <row r="272" spans="1:14" x14ac:dyDescent="0.25">
      <c r="A272" s="2">
        <v>43401</v>
      </c>
      <c r="B272" s="8">
        <v>18234023</v>
      </c>
      <c r="C272" s="1" t="s">
        <v>16</v>
      </c>
      <c r="D272" s="1"/>
      <c r="E272" s="3">
        <v>0</v>
      </c>
      <c r="F272" s="3">
        <v>2</v>
      </c>
      <c r="G272" s="3">
        <v>0</v>
      </c>
      <c r="H272" s="3">
        <v>0</v>
      </c>
      <c r="I272" s="3">
        <v>0</v>
      </c>
      <c r="J272" s="3">
        <v>0</v>
      </c>
      <c r="K272" s="3">
        <v>0</v>
      </c>
      <c r="L272" s="3">
        <v>2</v>
      </c>
      <c r="M272" s="8">
        <f>IF(LEFT(tbl_timesheet[[#This Row],[Activity]],1)="5",tbl_timesheet[[#This Row],[Total]],0)</f>
        <v>0</v>
      </c>
      <c r="N272" s="8">
        <f>IF(LEFT(tbl_timesheet[[#This Row],[Activity]],1)="6",tbl_timesheet[[#This Row],[Total]],0)</f>
        <v>2</v>
      </c>
    </row>
    <row r="273" spans="1:14" x14ac:dyDescent="0.25">
      <c r="A273" s="2">
        <v>43401</v>
      </c>
      <c r="B273" s="8">
        <v>18261059</v>
      </c>
      <c r="C273" s="1" t="s">
        <v>37</v>
      </c>
      <c r="D273" s="1"/>
      <c r="E273" s="3">
        <v>0</v>
      </c>
      <c r="F273" s="3">
        <v>2</v>
      </c>
      <c r="G273" s="3">
        <v>0</v>
      </c>
      <c r="H273" s="3">
        <v>0</v>
      </c>
      <c r="I273" s="3">
        <v>0</v>
      </c>
      <c r="J273" s="3">
        <v>0</v>
      </c>
      <c r="K273" s="3">
        <v>0</v>
      </c>
      <c r="L273" s="3">
        <v>2</v>
      </c>
      <c r="M273" s="8">
        <f>IF(LEFT(tbl_timesheet[[#This Row],[Activity]],1)="5",tbl_timesheet[[#This Row],[Total]],0)</f>
        <v>0</v>
      </c>
      <c r="N273" s="8">
        <f>IF(LEFT(tbl_timesheet[[#This Row],[Activity]],1)="6",tbl_timesheet[[#This Row],[Total]],0)</f>
        <v>2</v>
      </c>
    </row>
    <row r="274" spans="1:14" x14ac:dyDescent="0.25">
      <c r="A274" s="2">
        <v>43401</v>
      </c>
      <c r="B274" s="8">
        <v>18261059</v>
      </c>
      <c r="C274" s="1" t="s">
        <v>34</v>
      </c>
      <c r="D274" s="1"/>
      <c r="E274" s="3">
        <v>0</v>
      </c>
      <c r="F274" s="3">
        <v>2</v>
      </c>
      <c r="G274" s="3">
        <v>0</v>
      </c>
      <c r="H274" s="3">
        <v>5</v>
      </c>
      <c r="I274" s="3">
        <v>0</v>
      </c>
      <c r="J274" s="3">
        <v>0</v>
      </c>
      <c r="K274" s="3">
        <v>0</v>
      </c>
      <c r="L274" s="3">
        <v>7</v>
      </c>
      <c r="M274" s="8">
        <f>IF(LEFT(tbl_timesheet[[#This Row],[Activity]],1)="5",tbl_timesheet[[#This Row],[Total]],0)</f>
        <v>0</v>
      </c>
      <c r="N274" s="8">
        <f>IF(LEFT(tbl_timesheet[[#This Row],[Activity]],1)="6",tbl_timesheet[[#This Row],[Total]],0)</f>
        <v>7</v>
      </c>
    </row>
    <row r="275" spans="1:14" x14ac:dyDescent="0.25">
      <c r="A275" s="2">
        <v>43401</v>
      </c>
      <c r="B275" s="8">
        <v>18261059</v>
      </c>
      <c r="C275" s="1" t="s">
        <v>5</v>
      </c>
      <c r="D275" s="1"/>
      <c r="E275" s="3">
        <v>0</v>
      </c>
      <c r="F275" s="3">
        <v>0</v>
      </c>
      <c r="G275" s="3">
        <v>5</v>
      </c>
      <c r="H275" s="3">
        <v>0</v>
      </c>
      <c r="I275" s="3">
        <v>0</v>
      </c>
      <c r="J275" s="3">
        <v>0</v>
      </c>
      <c r="K275" s="3">
        <v>0</v>
      </c>
      <c r="L275" s="3">
        <v>5</v>
      </c>
      <c r="M275" s="8">
        <f>IF(LEFT(tbl_timesheet[[#This Row],[Activity]],1)="5",tbl_timesheet[[#This Row],[Total]],0)</f>
        <v>0</v>
      </c>
      <c r="N275" s="8">
        <f>IF(LEFT(tbl_timesheet[[#This Row],[Activity]],1)="6",tbl_timesheet[[#This Row],[Total]],0)</f>
        <v>5</v>
      </c>
    </row>
    <row r="276" spans="1:14" x14ac:dyDescent="0.25">
      <c r="A276" s="2">
        <v>43401</v>
      </c>
      <c r="B276" s="8">
        <v>18261059</v>
      </c>
      <c r="C276" s="1" t="s">
        <v>86</v>
      </c>
      <c r="D276" s="1"/>
      <c r="E276" s="3">
        <v>0</v>
      </c>
      <c r="F276" s="3">
        <v>0</v>
      </c>
      <c r="G276" s="3">
        <v>0</v>
      </c>
      <c r="H276" s="3">
        <v>0</v>
      </c>
      <c r="I276" s="3">
        <v>5</v>
      </c>
      <c r="J276" s="3">
        <v>0</v>
      </c>
      <c r="K276" s="3">
        <v>0</v>
      </c>
      <c r="L276" s="3">
        <v>5</v>
      </c>
      <c r="M276" s="8">
        <f>IF(LEFT(tbl_timesheet[[#This Row],[Activity]],1)="5",tbl_timesheet[[#This Row],[Total]],0)</f>
        <v>5</v>
      </c>
      <c r="N276" s="8">
        <f>IF(LEFT(tbl_timesheet[[#This Row],[Activity]],1)="6",tbl_timesheet[[#This Row],[Total]],0)</f>
        <v>0</v>
      </c>
    </row>
    <row r="277" spans="1:14" x14ac:dyDescent="0.25">
      <c r="A277" s="2">
        <v>43408</v>
      </c>
      <c r="B277" s="8">
        <v>18234009</v>
      </c>
      <c r="C277" s="1" t="s">
        <v>30</v>
      </c>
      <c r="D277" s="1"/>
      <c r="E277" s="3">
        <v>4</v>
      </c>
      <c r="F277" s="3">
        <v>0</v>
      </c>
      <c r="G277" s="3">
        <v>0</v>
      </c>
      <c r="H277" s="3">
        <v>0</v>
      </c>
      <c r="I277" s="3">
        <v>0</v>
      </c>
      <c r="J277" s="3">
        <v>0</v>
      </c>
      <c r="K277" s="3">
        <v>0</v>
      </c>
      <c r="L277" s="3">
        <v>4</v>
      </c>
      <c r="M277" s="8">
        <f>IF(LEFT(tbl_timesheet[[#This Row],[Activity]],1)="5",tbl_timesheet[[#This Row],[Total]],0)</f>
        <v>0</v>
      </c>
      <c r="N277" s="8">
        <f>IF(LEFT(tbl_timesheet[[#This Row],[Activity]],1)="6",tbl_timesheet[[#This Row],[Total]],0)</f>
        <v>4</v>
      </c>
    </row>
    <row r="278" spans="1:14" x14ac:dyDescent="0.25">
      <c r="A278" s="2">
        <v>43408</v>
      </c>
      <c r="B278" s="8">
        <v>18234009</v>
      </c>
      <c r="C278" s="1" t="s">
        <v>86</v>
      </c>
      <c r="D278" s="1"/>
      <c r="E278" s="3">
        <v>0</v>
      </c>
      <c r="F278" s="3">
        <v>9</v>
      </c>
      <c r="G278" s="3">
        <v>0</v>
      </c>
      <c r="H278" s="3">
        <v>0</v>
      </c>
      <c r="I278" s="3">
        <v>0</v>
      </c>
      <c r="J278" s="3">
        <v>0</v>
      </c>
      <c r="K278" s="3">
        <v>0</v>
      </c>
      <c r="L278" s="3">
        <v>9</v>
      </c>
      <c r="M278" s="8">
        <f>IF(LEFT(tbl_timesheet[[#This Row],[Activity]],1)="5",tbl_timesheet[[#This Row],[Total]],0)</f>
        <v>9</v>
      </c>
      <c r="N278" s="8">
        <f>IF(LEFT(tbl_timesheet[[#This Row],[Activity]],1)="6",tbl_timesheet[[#This Row],[Total]],0)</f>
        <v>0</v>
      </c>
    </row>
    <row r="279" spans="1:14" x14ac:dyDescent="0.25">
      <c r="A279" s="2">
        <v>43408</v>
      </c>
      <c r="B279" s="8">
        <v>18234012</v>
      </c>
      <c r="C279" s="1" t="s">
        <v>86</v>
      </c>
      <c r="D279" s="1"/>
      <c r="E279" s="3">
        <v>0</v>
      </c>
      <c r="F279" s="3">
        <v>0</v>
      </c>
      <c r="G279" s="3">
        <v>5</v>
      </c>
      <c r="H279" s="3">
        <v>5</v>
      </c>
      <c r="I279" s="3">
        <v>0</v>
      </c>
      <c r="J279" s="3">
        <v>0</v>
      </c>
      <c r="K279" s="3">
        <v>0</v>
      </c>
      <c r="L279" s="3">
        <v>10</v>
      </c>
      <c r="M279" s="8">
        <f>IF(LEFT(tbl_timesheet[[#This Row],[Activity]],1)="5",tbl_timesheet[[#This Row],[Total]],0)</f>
        <v>10</v>
      </c>
      <c r="N279" s="8">
        <f>IF(LEFT(tbl_timesheet[[#This Row],[Activity]],1)="6",tbl_timesheet[[#This Row],[Total]],0)</f>
        <v>0</v>
      </c>
    </row>
    <row r="280" spans="1:14" x14ac:dyDescent="0.25">
      <c r="A280" s="2">
        <v>43408</v>
      </c>
      <c r="B280" s="8">
        <v>18234022</v>
      </c>
      <c r="C280" s="1" t="s">
        <v>30</v>
      </c>
      <c r="D280" s="1"/>
      <c r="E280" s="3">
        <v>0</v>
      </c>
      <c r="F280" s="3">
        <v>0</v>
      </c>
      <c r="G280" s="3">
        <v>4</v>
      </c>
      <c r="H280" s="3">
        <v>0</v>
      </c>
      <c r="I280" s="3">
        <v>5</v>
      </c>
      <c r="J280" s="3">
        <v>0</v>
      </c>
      <c r="K280" s="3">
        <v>0</v>
      </c>
      <c r="L280" s="3">
        <v>9</v>
      </c>
      <c r="M280" s="8">
        <f>IF(LEFT(tbl_timesheet[[#This Row],[Activity]],1)="5",tbl_timesheet[[#This Row],[Total]],0)</f>
        <v>0</v>
      </c>
      <c r="N280" s="8">
        <f>IF(LEFT(tbl_timesheet[[#This Row],[Activity]],1)="6",tbl_timesheet[[#This Row],[Total]],0)</f>
        <v>9</v>
      </c>
    </row>
    <row r="281" spans="1:14" x14ac:dyDescent="0.25">
      <c r="A281" s="2">
        <v>43408</v>
      </c>
      <c r="B281" s="8">
        <v>18261048</v>
      </c>
      <c r="C281" s="1" t="s">
        <v>92</v>
      </c>
      <c r="D281" s="1"/>
      <c r="E281" s="3">
        <v>4</v>
      </c>
      <c r="F281" s="3">
        <v>0</v>
      </c>
      <c r="G281" s="3">
        <v>0</v>
      </c>
      <c r="H281" s="3">
        <v>0</v>
      </c>
      <c r="I281" s="3">
        <v>0</v>
      </c>
      <c r="J281" s="3">
        <v>0</v>
      </c>
      <c r="K281" s="3">
        <v>0</v>
      </c>
      <c r="L281" s="3">
        <v>4</v>
      </c>
      <c r="M281" s="8">
        <f>IF(LEFT(tbl_timesheet[[#This Row],[Activity]],1)="5",tbl_timesheet[[#This Row],[Total]],0)</f>
        <v>0</v>
      </c>
      <c r="N281" s="8">
        <f>IF(LEFT(tbl_timesheet[[#This Row],[Activity]],1)="6",tbl_timesheet[[#This Row],[Total]],0)</f>
        <v>4</v>
      </c>
    </row>
    <row r="282" spans="1:14" x14ac:dyDescent="0.25">
      <c r="A282" s="2">
        <v>43408</v>
      </c>
      <c r="B282" s="8">
        <v>18261059</v>
      </c>
      <c r="C282" s="1" t="s">
        <v>93</v>
      </c>
      <c r="D282" s="1"/>
      <c r="E282" s="3">
        <v>4</v>
      </c>
      <c r="F282" s="3">
        <v>0</v>
      </c>
      <c r="G282" s="3">
        <v>0</v>
      </c>
      <c r="H282" s="3">
        <v>0</v>
      </c>
      <c r="I282" s="3">
        <v>0</v>
      </c>
      <c r="J282" s="3">
        <v>0</v>
      </c>
      <c r="K282" s="3">
        <v>0</v>
      </c>
      <c r="L282" s="3">
        <v>4</v>
      </c>
      <c r="M282" s="8">
        <f>IF(LEFT(tbl_timesheet[[#This Row],[Activity]],1)="5",tbl_timesheet[[#This Row],[Total]],0)</f>
        <v>4</v>
      </c>
      <c r="N282" s="8">
        <f>IF(LEFT(tbl_timesheet[[#This Row],[Activity]],1)="6",tbl_timesheet[[#This Row],[Total]],0)</f>
        <v>0</v>
      </c>
    </row>
    <row r="283" spans="1:14" x14ac:dyDescent="0.25">
      <c r="A283" s="2">
        <v>43408</v>
      </c>
      <c r="B283" s="8">
        <v>18261059</v>
      </c>
      <c r="C283" s="1" t="s">
        <v>5</v>
      </c>
      <c r="D283" s="1"/>
      <c r="E283" s="3">
        <v>0</v>
      </c>
      <c r="F283" s="3">
        <v>0</v>
      </c>
      <c r="G283" s="3">
        <v>0</v>
      </c>
      <c r="H283" s="3">
        <v>4</v>
      </c>
      <c r="I283" s="3">
        <v>0</v>
      </c>
      <c r="J283" s="3">
        <v>0</v>
      </c>
      <c r="K283" s="3">
        <v>0</v>
      </c>
      <c r="L283" s="3">
        <v>4</v>
      </c>
      <c r="M283" s="8">
        <f>IF(LEFT(tbl_timesheet[[#This Row],[Activity]],1)="5",tbl_timesheet[[#This Row],[Total]],0)</f>
        <v>0</v>
      </c>
      <c r="N283" s="8">
        <f>IF(LEFT(tbl_timesheet[[#This Row],[Activity]],1)="6",tbl_timesheet[[#This Row],[Total]],0)</f>
        <v>4</v>
      </c>
    </row>
    <row r="284" spans="1:14" x14ac:dyDescent="0.25">
      <c r="A284" s="2">
        <v>43415</v>
      </c>
      <c r="B284" s="8">
        <v>18234009</v>
      </c>
      <c r="C284" s="1" t="s">
        <v>5</v>
      </c>
      <c r="D284" s="1" t="s">
        <v>153</v>
      </c>
      <c r="E284" s="3">
        <v>10</v>
      </c>
      <c r="F284" s="3">
        <v>0</v>
      </c>
      <c r="G284" s="3">
        <v>0</v>
      </c>
      <c r="H284" s="3">
        <v>0</v>
      </c>
      <c r="I284" s="3">
        <v>0</v>
      </c>
      <c r="J284" s="3">
        <v>0</v>
      </c>
      <c r="K284" s="3">
        <v>0</v>
      </c>
      <c r="L284" s="3">
        <v>10</v>
      </c>
      <c r="M284" s="8">
        <f>IF(LEFT(tbl_timesheet[[#This Row],[Activity]],1)="5",tbl_timesheet[[#This Row],[Total]],0)</f>
        <v>0</v>
      </c>
      <c r="N284" s="8">
        <f>IF(LEFT(tbl_timesheet[[#This Row],[Activity]],1)="6",tbl_timesheet[[#This Row],[Total]],0)</f>
        <v>10</v>
      </c>
    </row>
    <row r="285" spans="1:14" x14ac:dyDescent="0.25">
      <c r="A285" s="2">
        <v>43415</v>
      </c>
      <c r="B285" s="8">
        <v>18234012</v>
      </c>
      <c r="C285" s="1" t="s">
        <v>5</v>
      </c>
      <c r="D285" s="1" t="s">
        <v>153</v>
      </c>
      <c r="E285" s="3">
        <v>0</v>
      </c>
      <c r="F285" s="3">
        <v>10</v>
      </c>
      <c r="G285" s="3">
        <v>0</v>
      </c>
      <c r="H285" s="3">
        <v>0</v>
      </c>
      <c r="I285" s="3">
        <v>0</v>
      </c>
      <c r="J285" s="3">
        <v>0</v>
      </c>
      <c r="K285" s="3">
        <v>0</v>
      </c>
      <c r="L285" s="3">
        <v>10</v>
      </c>
      <c r="M285" s="8">
        <f>IF(LEFT(tbl_timesheet[[#This Row],[Activity]],1)="5",tbl_timesheet[[#This Row],[Total]],0)</f>
        <v>0</v>
      </c>
      <c r="N285" s="8">
        <f>IF(LEFT(tbl_timesheet[[#This Row],[Activity]],1)="6",tbl_timesheet[[#This Row],[Total]],0)</f>
        <v>10</v>
      </c>
    </row>
    <row r="286" spans="1:14" x14ac:dyDescent="0.25">
      <c r="A286" s="2">
        <v>43415</v>
      </c>
      <c r="B286" s="8">
        <v>18234022</v>
      </c>
      <c r="C286" s="1" t="s">
        <v>30</v>
      </c>
      <c r="D286" s="1" t="s">
        <v>153</v>
      </c>
      <c r="E286" s="3">
        <v>0</v>
      </c>
      <c r="F286" s="3">
        <v>0</v>
      </c>
      <c r="G286" s="3">
        <v>10</v>
      </c>
      <c r="H286" s="3">
        <v>0</v>
      </c>
      <c r="I286" s="3">
        <v>0</v>
      </c>
      <c r="J286" s="3">
        <v>0</v>
      </c>
      <c r="K286" s="3">
        <v>0</v>
      </c>
      <c r="L286" s="3">
        <v>10</v>
      </c>
      <c r="M286" s="8">
        <f>IF(LEFT(tbl_timesheet[[#This Row],[Activity]],1)="5",tbl_timesheet[[#This Row],[Total]],0)</f>
        <v>0</v>
      </c>
      <c r="N286" s="8">
        <f>IF(LEFT(tbl_timesheet[[#This Row],[Activity]],1)="6",tbl_timesheet[[#This Row],[Total]],0)</f>
        <v>10</v>
      </c>
    </row>
    <row r="287" spans="1:14" x14ac:dyDescent="0.25">
      <c r="A287" s="2">
        <v>43415</v>
      </c>
      <c r="B287" s="8">
        <v>18261048</v>
      </c>
      <c r="C287" s="1" t="s">
        <v>30</v>
      </c>
      <c r="D287" s="1" t="s">
        <v>153</v>
      </c>
      <c r="E287" s="3">
        <v>0</v>
      </c>
      <c r="F287" s="3">
        <v>0</v>
      </c>
      <c r="G287" s="3">
        <v>0</v>
      </c>
      <c r="H287" s="3">
        <v>5</v>
      </c>
      <c r="I287" s="3">
        <v>0</v>
      </c>
      <c r="J287" s="3">
        <v>0</v>
      </c>
      <c r="K287" s="3">
        <v>0</v>
      </c>
      <c r="L287" s="3">
        <v>5</v>
      </c>
      <c r="M287" s="8">
        <f>IF(LEFT(tbl_timesheet[[#This Row],[Activity]],1)="5",tbl_timesheet[[#This Row],[Total]],0)</f>
        <v>0</v>
      </c>
      <c r="N287" s="8">
        <f>IF(LEFT(tbl_timesheet[[#This Row],[Activity]],1)="6",tbl_timesheet[[#This Row],[Total]],0)</f>
        <v>5</v>
      </c>
    </row>
    <row r="288" spans="1:14" x14ac:dyDescent="0.25">
      <c r="A288" s="2">
        <v>43415</v>
      </c>
      <c r="B288" s="8">
        <v>18261059</v>
      </c>
      <c r="C288" s="1" t="s">
        <v>30</v>
      </c>
      <c r="D288" s="1" t="s">
        <v>153</v>
      </c>
      <c r="E288" s="3">
        <v>0</v>
      </c>
      <c r="F288" s="3">
        <v>0</v>
      </c>
      <c r="G288" s="3">
        <v>0</v>
      </c>
      <c r="H288" s="3">
        <v>5</v>
      </c>
      <c r="I288" s="3">
        <v>0</v>
      </c>
      <c r="J288" s="3">
        <v>0</v>
      </c>
      <c r="K288" s="3">
        <v>0</v>
      </c>
      <c r="L288" s="3">
        <v>5</v>
      </c>
      <c r="M288" s="8">
        <f>IF(LEFT(tbl_timesheet[[#This Row],[Activity]],1)="5",tbl_timesheet[[#This Row],[Total]],0)</f>
        <v>0</v>
      </c>
      <c r="N288" s="8">
        <f>IF(LEFT(tbl_timesheet[[#This Row],[Activity]],1)="6",tbl_timesheet[[#This Row],[Total]],0)</f>
        <v>5</v>
      </c>
    </row>
    <row r="289" spans="1:14" x14ac:dyDescent="0.25">
      <c r="A289" s="19">
        <v>43422</v>
      </c>
      <c r="B289" s="20">
        <v>18234009</v>
      </c>
      <c r="C289" s="21" t="s">
        <v>16</v>
      </c>
      <c r="D289" s="21" t="s">
        <v>153</v>
      </c>
      <c r="E289" s="22">
        <v>0</v>
      </c>
      <c r="F289" s="22">
        <v>0</v>
      </c>
      <c r="G289" s="22">
        <v>0</v>
      </c>
      <c r="H289" s="22">
        <v>4</v>
      </c>
      <c r="I289" s="22">
        <v>0</v>
      </c>
      <c r="J289" s="22">
        <v>0</v>
      </c>
      <c r="K289" s="22">
        <v>0</v>
      </c>
      <c r="L289" s="22">
        <v>4</v>
      </c>
      <c r="M289" s="20">
        <f>IF(LEFT(tbl_timesheet[[#This Row],[Activity]],1)="5",tbl_timesheet[[#This Row],[Total]],0)</f>
        <v>0</v>
      </c>
      <c r="N289" s="20">
        <f>IF(LEFT(tbl_timesheet[[#This Row],[Activity]],1)="6",tbl_timesheet[[#This Row],[Total]],0)</f>
        <v>4</v>
      </c>
    </row>
    <row r="290" spans="1:14" x14ac:dyDescent="0.25">
      <c r="A290" s="19">
        <v>43422</v>
      </c>
      <c r="B290" s="20">
        <v>18234012</v>
      </c>
      <c r="C290" s="21" t="s">
        <v>16</v>
      </c>
      <c r="D290" s="21" t="s">
        <v>153</v>
      </c>
      <c r="E290" s="22">
        <v>0</v>
      </c>
      <c r="F290" s="22">
        <v>0</v>
      </c>
      <c r="G290" s="22">
        <v>0</v>
      </c>
      <c r="H290" s="22">
        <v>0</v>
      </c>
      <c r="I290" s="22">
        <v>4</v>
      </c>
      <c r="J290" s="22">
        <v>0</v>
      </c>
      <c r="K290" s="22">
        <v>0</v>
      </c>
      <c r="L290" s="22">
        <v>4</v>
      </c>
      <c r="M290" s="20">
        <f>IF(LEFT(tbl_timesheet[[#This Row],[Activity]],1)="5",tbl_timesheet[[#This Row],[Total]],0)</f>
        <v>0</v>
      </c>
      <c r="N290" s="20">
        <f>IF(LEFT(tbl_timesheet[[#This Row],[Activity]],1)="6",tbl_timesheet[[#This Row],[Total]],0)</f>
        <v>4</v>
      </c>
    </row>
    <row r="291" spans="1:14" x14ac:dyDescent="0.25">
      <c r="A291" s="19">
        <v>43422</v>
      </c>
      <c r="B291" s="20">
        <v>18234023</v>
      </c>
      <c r="C291" s="21" t="s">
        <v>16</v>
      </c>
      <c r="D291" s="21" t="s">
        <v>153</v>
      </c>
      <c r="E291" s="22">
        <v>4</v>
      </c>
      <c r="F291" s="22">
        <v>4</v>
      </c>
      <c r="G291" s="22">
        <v>2</v>
      </c>
      <c r="H291" s="22">
        <v>0</v>
      </c>
      <c r="I291" s="22">
        <v>0</v>
      </c>
      <c r="J291" s="22">
        <v>0</v>
      </c>
      <c r="K291" s="22">
        <v>0</v>
      </c>
      <c r="L291" s="22">
        <v>10</v>
      </c>
      <c r="M291" s="20">
        <f>IF(LEFT(tbl_timesheet[[#This Row],[Activity]],1)="5",tbl_timesheet[[#This Row],[Total]],0)</f>
        <v>0</v>
      </c>
      <c r="N291" s="20">
        <f>IF(LEFT(tbl_timesheet[[#This Row],[Activity]],1)="6",tbl_timesheet[[#This Row],[Total]],0)</f>
        <v>10</v>
      </c>
    </row>
    <row r="292" spans="1:14" x14ac:dyDescent="0.25">
      <c r="A292" s="19">
        <v>43422</v>
      </c>
      <c r="B292" s="20">
        <v>18234026</v>
      </c>
      <c r="C292" s="21" t="s">
        <v>16</v>
      </c>
      <c r="D292" s="21" t="s">
        <v>153</v>
      </c>
      <c r="E292" s="22">
        <v>0</v>
      </c>
      <c r="F292" s="22">
        <v>5</v>
      </c>
      <c r="G292" s="22">
        <v>0</v>
      </c>
      <c r="H292" s="22">
        <v>0</v>
      </c>
      <c r="I292" s="22">
        <v>0</v>
      </c>
      <c r="J292" s="22">
        <v>0</v>
      </c>
      <c r="K292" s="22">
        <v>0</v>
      </c>
      <c r="L292" s="22">
        <v>5</v>
      </c>
      <c r="M292" s="20">
        <f>IF(LEFT(tbl_timesheet[[#This Row],[Activity]],1)="5",tbl_timesheet[[#This Row],[Total]],0)</f>
        <v>0</v>
      </c>
      <c r="N292" s="20">
        <f>IF(LEFT(tbl_timesheet[[#This Row],[Activity]],1)="6",tbl_timesheet[[#This Row],[Total]],0)</f>
        <v>5</v>
      </c>
    </row>
    <row r="293" spans="1:14" x14ac:dyDescent="0.25">
      <c r="A293" s="19">
        <v>43422</v>
      </c>
      <c r="B293" s="20">
        <v>18234027</v>
      </c>
      <c r="C293" s="21" t="s">
        <v>16</v>
      </c>
      <c r="D293" s="21" t="s">
        <v>153</v>
      </c>
      <c r="E293" s="22">
        <v>5</v>
      </c>
      <c r="F293" s="22">
        <v>0</v>
      </c>
      <c r="G293" s="22">
        <v>0</v>
      </c>
      <c r="H293" s="22">
        <v>0</v>
      </c>
      <c r="I293" s="22">
        <v>0</v>
      </c>
      <c r="J293" s="22">
        <v>0</v>
      </c>
      <c r="K293" s="22">
        <v>0</v>
      </c>
      <c r="L293" s="22">
        <v>5</v>
      </c>
      <c r="M293" s="20">
        <f>IF(LEFT(tbl_timesheet[[#This Row],[Activity]],1)="5",tbl_timesheet[[#This Row],[Total]],0)</f>
        <v>0</v>
      </c>
      <c r="N293" s="20">
        <f>IF(LEFT(tbl_timesheet[[#This Row],[Activity]],1)="6",tbl_timesheet[[#This Row],[Total]],0)</f>
        <v>5</v>
      </c>
    </row>
    <row r="294" spans="1:14" x14ac:dyDescent="0.25">
      <c r="A294" s="19">
        <v>43422</v>
      </c>
      <c r="B294" s="20">
        <v>18261048</v>
      </c>
      <c r="C294" s="21" t="s">
        <v>5</v>
      </c>
      <c r="D294" s="21" t="s">
        <v>153</v>
      </c>
      <c r="E294" s="22">
        <v>0</v>
      </c>
      <c r="F294" s="22">
        <v>0</v>
      </c>
      <c r="G294" s="22">
        <v>3</v>
      </c>
      <c r="H294" s="22">
        <v>0</v>
      </c>
      <c r="I294" s="22">
        <v>0</v>
      </c>
      <c r="J294" s="22">
        <v>0</v>
      </c>
      <c r="K294" s="22">
        <v>0</v>
      </c>
      <c r="L294" s="22">
        <v>3</v>
      </c>
      <c r="M294" s="20">
        <f>IF(LEFT(tbl_timesheet[[#This Row],[Activity]],1)="5",tbl_timesheet[[#This Row],[Total]],0)</f>
        <v>0</v>
      </c>
      <c r="N294" s="20">
        <f>IF(LEFT(tbl_timesheet[[#This Row],[Activity]],1)="6",tbl_timesheet[[#This Row],[Total]],0)</f>
        <v>3</v>
      </c>
    </row>
    <row r="295" spans="1:14" x14ac:dyDescent="0.25">
      <c r="A295" s="19">
        <v>43422</v>
      </c>
      <c r="B295" s="20">
        <v>18261059</v>
      </c>
      <c r="C295" s="21" t="s">
        <v>37</v>
      </c>
      <c r="D295" s="21" t="s">
        <v>153</v>
      </c>
      <c r="E295" s="22">
        <v>0</v>
      </c>
      <c r="F295" s="22">
        <v>0</v>
      </c>
      <c r="G295" s="22">
        <v>4</v>
      </c>
      <c r="H295" s="22">
        <v>0</v>
      </c>
      <c r="I295" s="22">
        <v>0</v>
      </c>
      <c r="J295" s="22">
        <v>0</v>
      </c>
      <c r="K295" s="22">
        <v>0</v>
      </c>
      <c r="L295" s="22">
        <v>4</v>
      </c>
      <c r="M295" s="20">
        <f>IF(LEFT(tbl_timesheet[[#This Row],[Activity]],1)="5",tbl_timesheet[[#This Row],[Total]],0)</f>
        <v>0</v>
      </c>
      <c r="N295" s="20">
        <f>IF(LEFT(tbl_timesheet[[#This Row],[Activity]],1)="6",tbl_timesheet[[#This Row],[Total]],0)</f>
        <v>4</v>
      </c>
    </row>
    <row r="296" spans="1:14" x14ac:dyDescent="0.25">
      <c r="A296" s="19">
        <v>43422</v>
      </c>
      <c r="B296" s="20">
        <v>18281049</v>
      </c>
      <c r="C296" s="21" t="s">
        <v>24</v>
      </c>
      <c r="D296" s="21" t="s">
        <v>153</v>
      </c>
      <c r="E296" s="22">
        <v>0</v>
      </c>
      <c r="F296" s="22">
        <v>0</v>
      </c>
      <c r="G296" s="22">
        <v>0</v>
      </c>
      <c r="H296" s="22">
        <v>5</v>
      </c>
      <c r="I296" s="22">
        <v>0</v>
      </c>
      <c r="J296" s="22">
        <v>0</v>
      </c>
      <c r="K296" s="22">
        <v>0</v>
      </c>
      <c r="L296" s="22">
        <v>5</v>
      </c>
      <c r="M296" s="20">
        <f>IF(LEFT(tbl_timesheet[[#This Row],[Activity]],1)="5",tbl_timesheet[[#This Row],[Total]],0)</f>
        <v>0</v>
      </c>
      <c r="N296" s="20">
        <f>IF(LEFT(tbl_timesheet[[#This Row],[Activity]],1)="6",tbl_timesheet[[#This Row],[Total]],0)</f>
        <v>5</v>
      </c>
    </row>
    <row r="297" spans="1:14" x14ac:dyDescent="0.25">
      <c r="A297" s="2">
        <v>43429</v>
      </c>
      <c r="B297" s="8">
        <v>18000000</v>
      </c>
      <c r="C297" s="1" t="s">
        <v>45</v>
      </c>
      <c r="D297" s="1" t="s">
        <v>153</v>
      </c>
      <c r="E297" s="3">
        <v>0</v>
      </c>
      <c r="F297" s="3">
        <v>0</v>
      </c>
      <c r="G297" s="3">
        <v>0</v>
      </c>
      <c r="H297" s="3">
        <v>8</v>
      </c>
      <c r="I297" s="3">
        <v>8</v>
      </c>
      <c r="J297" s="3">
        <v>0</v>
      </c>
      <c r="K297" s="3">
        <v>0</v>
      </c>
      <c r="L297" s="3">
        <v>16</v>
      </c>
      <c r="M297" s="8">
        <f>IF(LEFT(tbl_timesheet[[#This Row],[Activity]],1)="5",tbl_timesheet[[#This Row],[Total]],0)</f>
        <v>0</v>
      </c>
      <c r="N297" s="8">
        <f>IF(LEFT(tbl_timesheet[[#This Row],[Activity]],1)="6",tbl_timesheet[[#This Row],[Total]],0)</f>
        <v>16</v>
      </c>
    </row>
    <row r="298" spans="1:14" x14ac:dyDescent="0.25">
      <c r="A298" s="2">
        <v>43429</v>
      </c>
      <c r="B298" s="8">
        <v>18234009</v>
      </c>
      <c r="C298" s="1" t="s">
        <v>5</v>
      </c>
      <c r="D298" s="1" t="s">
        <v>153</v>
      </c>
      <c r="E298" s="3">
        <v>4</v>
      </c>
      <c r="F298" s="3">
        <v>4</v>
      </c>
      <c r="G298" s="3">
        <v>0</v>
      </c>
      <c r="H298" s="3">
        <v>0</v>
      </c>
      <c r="I298" s="3">
        <v>0</v>
      </c>
      <c r="J298" s="3">
        <v>0</v>
      </c>
      <c r="K298" s="3">
        <v>0</v>
      </c>
      <c r="L298" s="3">
        <v>8</v>
      </c>
      <c r="M298" s="8">
        <f>IF(LEFT(tbl_timesheet[[#This Row],[Activity]],1)="5",tbl_timesheet[[#This Row],[Total]],0)</f>
        <v>0</v>
      </c>
      <c r="N298" s="8">
        <f>IF(LEFT(tbl_timesheet[[#This Row],[Activity]],1)="6",tbl_timesheet[[#This Row],[Total]],0)</f>
        <v>8</v>
      </c>
    </row>
    <row r="299" spans="1:14" x14ac:dyDescent="0.25">
      <c r="A299" s="2">
        <v>43429</v>
      </c>
      <c r="B299" s="8">
        <v>18234012</v>
      </c>
      <c r="C299" s="1" t="s">
        <v>5</v>
      </c>
      <c r="D299" s="1" t="s">
        <v>153</v>
      </c>
      <c r="E299" s="3">
        <v>4</v>
      </c>
      <c r="F299" s="3">
        <v>4</v>
      </c>
      <c r="G299" s="3">
        <v>0</v>
      </c>
      <c r="H299" s="3">
        <v>0</v>
      </c>
      <c r="I299" s="3">
        <v>0</v>
      </c>
      <c r="J299" s="3">
        <v>0</v>
      </c>
      <c r="K299" s="3">
        <v>0</v>
      </c>
      <c r="L299" s="3">
        <v>8</v>
      </c>
      <c r="M299" s="8">
        <f>IF(LEFT(tbl_timesheet[[#This Row],[Activity]],1)="5",tbl_timesheet[[#This Row],[Total]],0)</f>
        <v>0</v>
      </c>
      <c r="N299" s="8">
        <f>IF(LEFT(tbl_timesheet[[#This Row],[Activity]],1)="6",tbl_timesheet[[#This Row],[Total]],0)</f>
        <v>8</v>
      </c>
    </row>
    <row r="300" spans="1:14" x14ac:dyDescent="0.25">
      <c r="A300" s="2">
        <v>43429</v>
      </c>
      <c r="B300" s="8">
        <v>18234026</v>
      </c>
      <c r="C300" s="1" t="s">
        <v>16</v>
      </c>
      <c r="D300" s="1" t="s">
        <v>153</v>
      </c>
      <c r="E300" s="3">
        <v>0</v>
      </c>
      <c r="F300" s="3">
        <v>0</v>
      </c>
      <c r="G300" s="3">
        <v>3</v>
      </c>
      <c r="H300" s="3">
        <v>0</v>
      </c>
      <c r="I300" s="3">
        <v>0</v>
      </c>
      <c r="J300" s="3">
        <v>0</v>
      </c>
      <c r="K300" s="3">
        <v>0</v>
      </c>
      <c r="L300" s="3">
        <v>3</v>
      </c>
      <c r="M300" s="8">
        <f>IF(LEFT(tbl_timesheet[[#This Row],[Activity]],1)="5",tbl_timesheet[[#This Row],[Total]],0)</f>
        <v>0</v>
      </c>
      <c r="N300" s="8">
        <f>IF(LEFT(tbl_timesheet[[#This Row],[Activity]],1)="6",tbl_timesheet[[#This Row],[Total]],0)</f>
        <v>3</v>
      </c>
    </row>
    <row r="301" spans="1:14" x14ac:dyDescent="0.25">
      <c r="A301" s="2">
        <v>43429</v>
      </c>
      <c r="B301" s="8">
        <v>18234027</v>
      </c>
      <c r="C301" s="1" t="s">
        <v>34</v>
      </c>
      <c r="D301" s="1" t="s">
        <v>153</v>
      </c>
      <c r="E301" s="3">
        <v>0</v>
      </c>
      <c r="F301" s="3">
        <v>0</v>
      </c>
      <c r="G301" s="3">
        <v>5</v>
      </c>
      <c r="H301" s="3">
        <v>0</v>
      </c>
      <c r="I301" s="3">
        <v>0</v>
      </c>
      <c r="J301" s="3">
        <v>0</v>
      </c>
      <c r="K301" s="3">
        <v>0</v>
      </c>
      <c r="L301" s="3">
        <v>5</v>
      </c>
      <c r="M301" s="8">
        <f>IF(LEFT(tbl_timesheet[[#This Row],[Activity]],1)="5",tbl_timesheet[[#This Row],[Total]],0)</f>
        <v>0</v>
      </c>
      <c r="N301" s="8">
        <f>IF(LEFT(tbl_timesheet[[#This Row],[Activity]],1)="6",tbl_timesheet[[#This Row],[Total]],0)</f>
        <v>5</v>
      </c>
    </row>
    <row r="302" spans="1:14" x14ac:dyDescent="0.25">
      <c r="A302" s="2">
        <v>43436</v>
      </c>
      <c r="B302" s="8">
        <v>17053021</v>
      </c>
      <c r="C302" s="1" t="s">
        <v>160</v>
      </c>
      <c r="D302" s="1" t="s">
        <v>153</v>
      </c>
      <c r="E302" s="3">
        <v>2</v>
      </c>
      <c r="F302" s="3">
        <v>0</v>
      </c>
      <c r="G302" s="3">
        <v>0</v>
      </c>
      <c r="H302" s="3">
        <v>0</v>
      </c>
      <c r="I302" s="3">
        <v>0</v>
      </c>
      <c r="J302" s="3">
        <v>0</v>
      </c>
      <c r="K302" s="3">
        <v>0</v>
      </c>
      <c r="L302" s="3">
        <v>2</v>
      </c>
      <c r="M302" s="8">
        <f>IF(LEFT(tbl_timesheet[[#This Row],[Activity]],1)="5",tbl_timesheet[[#This Row],[Total]],0)</f>
        <v>0</v>
      </c>
      <c r="N302" s="8">
        <f>IF(LEFT(tbl_timesheet[[#This Row],[Activity]],1)="6",tbl_timesheet[[#This Row],[Total]],0)</f>
        <v>2</v>
      </c>
    </row>
    <row r="303" spans="1:14" x14ac:dyDescent="0.25">
      <c r="A303" s="2">
        <v>43436</v>
      </c>
      <c r="B303" s="8">
        <v>18234008</v>
      </c>
      <c r="C303" s="1" t="s">
        <v>6</v>
      </c>
      <c r="D303" s="1" t="s">
        <v>153</v>
      </c>
      <c r="E303" s="3">
        <v>0</v>
      </c>
      <c r="F303" s="3">
        <v>0</v>
      </c>
      <c r="G303" s="3">
        <v>0</v>
      </c>
      <c r="H303" s="3">
        <v>0</v>
      </c>
      <c r="I303" s="3">
        <v>2</v>
      </c>
      <c r="J303" s="3">
        <v>0</v>
      </c>
      <c r="K303" s="3">
        <v>0</v>
      </c>
      <c r="L303" s="3">
        <v>2</v>
      </c>
      <c r="M303" s="8">
        <f>IF(LEFT(tbl_timesheet[[#This Row],[Activity]],1)="5",tbl_timesheet[[#This Row],[Total]],0)</f>
        <v>0</v>
      </c>
      <c r="N303" s="8">
        <f>IF(LEFT(tbl_timesheet[[#This Row],[Activity]],1)="6",tbl_timesheet[[#This Row],[Total]],0)</f>
        <v>2</v>
      </c>
    </row>
    <row r="304" spans="1:14" x14ac:dyDescent="0.25">
      <c r="A304" s="2">
        <v>43436</v>
      </c>
      <c r="B304" s="8">
        <v>18234009</v>
      </c>
      <c r="C304" s="1" t="s">
        <v>35</v>
      </c>
      <c r="D304" s="1" t="s">
        <v>153</v>
      </c>
      <c r="E304" s="3">
        <v>0</v>
      </c>
      <c r="F304" s="3">
        <v>0</v>
      </c>
      <c r="G304" s="3">
        <v>4.5</v>
      </c>
      <c r="H304" s="3">
        <v>4.5</v>
      </c>
      <c r="I304" s="3">
        <v>0</v>
      </c>
      <c r="J304" s="3">
        <v>0</v>
      </c>
      <c r="K304" s="3">
        <v>0</v>
      </c>
      <c r="L304" s="3">
        <v>9</v>
      </c>
      <c r="M304" s="8">
        <f>IF(LEFT(tbl_timesheet[[#This Row],[Activity]],1)="5",tbl_timesheet[[#This Row],[Total]],0)</f>
        <v>9</v>
      </c>
      <c r="N304" s="8">
        <f>IF(LEFT(tbl_timesheet[[#This Row],[Activity]],1)="6",tbl_timesheet[[#This Row],[Total]],0)</f>
        <v>0</v>
      </c>
    </row>
    <row r="305" spans="1:14" x14ac:dyDescent="0.25">
      <c r="A305" s="2">
        <v>43436</v>
      </c>
      <c r="B305" s="8">
        <v>18234009</v>
      </c>
      <c r="C305" s="1" t="s">
        <v>90</v>
      </c>
      <c r="D305" s="1" t="s">
        <v>153</v>
      </c>
      <c r="E305" s="3">
        <v>7</v>
      </c>
      <c r="F305" s="3">
        <v>0</v>
      </c>
      <c r="G305" s="3">
        <v>0</v>
      </c>
      <c r="H305" s="3">
        <v>0</v>
      </c>
      <c r="I305" s="3">
        <v>0</v>
      </c>
      <c r="J305" s="3">
        <v>0</v>
      </c>
      <c r="K305" s="3">
        <v>0</v>
      </c>
      <c r="L305" s="3">
        <v>7</v>
      </c>
      <c r="M305" s="8">
        <f>IF(LEFT(tbl_timesheet[[#This Row],[Activity]],1)="5",tbl_timesheet[[#This Row],[Total]],0)</f>
        <v>7</v>
      </c>
      <c r="N305" s="8">
        <f>IF(LEFT(tbl_timesheet[[#This Row],[Activity]],1)="6",tbl_timesheet[[#This Row],[Total]],0)</f>
        <v>0</v>
      </c>
    </row>
    <row r="306" spans="1:14" x14ac:dyDescent="0.25">
      <c r="A306" s="2">
        <v>43436</v>
      </c>
      <c r="B306" s="8">
        <v>18234011</v>
      </c>
      <c r="C306" s="1" t="s">
        <v>6</v>
      </c>
      <c r="D306" s="1" t="s">
        <v>153</v>
      </c>
      <c r="E306" s="3">
        <v>0</v>
      </c>
      <c r="F306" s="3">
        <v>0</v>
      </c>
      <c r="G306" s="3">
        <v>0</v>
      </c>
      <c r="H306" s="3">
        <v>0</v>
      </c>
      <c r="I306" s="3">
        <v>2</v>
      </c>
      <c r="J306" s="3">
        <v>0</v>
      </c>
      <c r="K306" s="3">
        <v>0</v>
      </c>
      <c r="L306" s="3">
        <v>2</v>
      </c>
      <c r="M306" s="8">
        <f>IF(LEFT(tbl_timesheet[[#This Row],[Activity]],1)="5",tbl_timesheet[[#This Row],[Total]],0)</f>
        <v>0</v>
      </c>
      <c r="N306" s="8">
        <f>IF(LEFT(tbl_timesheet[[#This Row],[Activity]],1)="6",tbl_timesheet[[#This Row],[Total]],0)</f>
        <v>2</v>
      </c>
    </row>
    <row r="307" spans="1:14" x14ac:dyDescent="0.25">
      <c r="A307" s="2">
        <v>43436</v>
      </c>
      <c r="B307" s="8">
        <v>18234012</v>
      </c>
      <c r="C307" s="1" t="s">
        <v>90</v>
      </c>
      <c r="D307" s="1" t="s">
        <v>153</v>
      </c>
      <c r="E307" s="3">
        <v>0</v>
      </c>
      <c r="F307" s="3">
        <v>9</v>
      </c>
      <c r="G307" s="3">
        <v>0</v>
      </c>
      <c r="H307" s="3">
        <v>0</v>
      </c>
      <c r="I307" s="3">
        <v>0</v>
      </c>
      <c r="J307" s="3">
        <v>0</v>
      </c>
      <c r="K307" s="3">
        <v>0</v>
      </c>
      <c r="L307" s="3">
        <v>9</v>
      </c>
      <c r="M307" s="8">
        <f>IF(LEFT(tbl_timesheet[[#This Row],[Activity]],1)="5",tbl_timesheet[[#This Row],[Total]],0)</f>
        <v>9</v>
      </c>
      <c r="N307" s="8">
        <f>IF(LEFT(tbl_timesheet[[#This Row],[Activity]],1)="6",tbl_timesheet[[#This Row],[Total]],0)</f>
        <v>0</v>
      </c>
    </row>
    <row r="308" spans="1:14" x14ac:dyDescent="0.25">
      <c r="A308" s="2">
        <v>43436</v>
      </c>
      <c r="B308" s="8">
        <v>18234012</v>
      </c>
      <c r="C308" s="1" t="s">
        <v>35</v>
      </c>
      <c r="D308" s="1" t="s">
        <v>153</v>
      </c>
      <c r="E308" s="3">
        <v>0</v>
      </c>
      <c r="F308" s="3">
        <v>0</v>
      </c>
      <c r="G308" s="3">
        <v>4.5</v>
      </c>
      <c r="H308" s="3">
        <v>4.5</v>
      </c>
      <c r="I308" s="3">
        <v>0</v>
      </c>
      <c r="J308" s="3">
        <v>0</v>
      </c>
      <c r="K308" s="3">
        <v>0</v>
      </c>
      <c r="L308" s="3">
        <v>9</v>
      </c>
      <c r="M308" s="8">
        <f>IF(LEFT(tbl_timesheet[[#This Row],[Activity]],1)="5",tbl_timesheet[[#This Row],[Total]],0)</f>
        <v>9</v>
      </c>
      <c r="N308" s="8">
        <f>IF(LEFT(tbl_timesheet[[#This Row],[Activity]],1)="6",tbl_timesheet[[#This Row],[Total]],0)</f>
        <v>0</v>
      </c>
    </row>
    <row r="309" spans="1:14" x14ac:dyDescent="0.25">
      <c r="A309" s="2">
        <v>43443</v>
      </c>
      <c r="B309" s="8">
        <v>18234008</v>
      </c>
      <c r="C309" s="1" t="s">
        <v>6</v>
      </c>
      <c r="D309" s="1" t="s">
        <v>153</v>
      </c>
      <c r="E309" s="3">
        <v>0</v>
      </c>
      <c r="F309" s="3">
        <v>0</v>
      </c>
      <c r="G309" s="3">
        <v>0</v>
      </c>
      <c r="H309" s="3">
        <v>0</v>
      </c>
      <c r="I309" s="3">
        <v>4</v>
      </c>
      <c r="J309" s="3">
        <v>0</v>
      </c>
      <c r="K309" s="3">
        <v>0</v>
      </c>
      <c r="L309" s="3">
        <v>4</v>
      </c>
      <c r="M309" s="8">
        <f>IF(LEFT(tbl_timesheet[[#This Row],[Activity]],1)="5",tbl_timesheet[[#This Row],[Total]],0)</f>
        <v>0</v>
      </c>
      <c r="N309" s="8">
        <f>IF(LEFT(tbl_timesheet[[#This Row],[Activity]],1)="6",tbl_timesheet[[#This Row],[Total]],0)</f>
        <v>4</v>
      </c>
    </row>
    <row r="310" spans="1:14" x14ac:dyDescent="0.25">
      <c r="A310" s="2">
        <v>43443</v>
      </c>
      <c r="B310" s="8">
        <v>18234009</v>
      </c>
      <c r="C310" s="1" t="s">
        <v>85</v>
      </c>
      <c r="D310" s="1" t="s">
        <v>153</v>
      </c>
      <c r="E310" s="3">
        <v>0</v>
      </c>
      <c r="F310" s="3">
        <v>1</v>
      </c>
      <c r="G310" s="3">
        <v>1</v>
      </c>
      <c r="H310" s="3">
        <v>0</v>
      </c>
      <c r="I310" s="3">
        <v>0</v>
      </c>
      <c r="J310" s="3">
        <v>0</v>
      </c>
      <c r="K310" s="3">
        <v>0</v>
      </c>
      <c r="L310" s="3">
        <v>2</v>
      </c>
      <c r="M310" s="8">
        <f>IF(LEFT(tbl_timesheet[[#This Row],[Activity]],1)="5",tbl_timesheet[[#This Row],[Total]],0)</f>
        <v>2</v>
      </c>
      <c r="N310" s="8">
        <f>IF(LEFT(tbl_timesheet[[#This Row],[Activity]],1)="6",tbl_timesheet[[#This Row],[Total]],0)</f>
        <v>0</v>
      </c>
    </row>
    <row r="311" spans="1:14" x14ac:dyDescent="0.25">
      <c r="A311" s="2">
        <v>43443</v>
      </c>
      <c r="B311" s="8">
        <v>18234009</v>
      </c>
      <c r="C311" s="1" t="s">
        <v>35</v>
      </c>
      <c r="D311" s="1" t="s">
        <v>153</v>
      </c>
      <c r="E311" s="3">
        <v>8</v>
      </c>
      <c r="F311" s="3">
        <v>0</v>
      </c>
      <c r="G311" s="3">
        <v>0</v>
      </c>
      <c r="H311" s="3">
        <v>0</v>
      </c>
      <c r="I311" s="3">
        <v>0</v>
      </c>
      <c r="J311" s="3">
        <v>0</v>
      </c>
      <c r="K311" s="3">
        <v>0</v>
      </c>
      <c r="L311" s="3">
        <v>8</v>
      </c>
      <c r="M311" s="8">
        <f>IF(LEFT(tbl_timesheet[[#This Row],[Activity]],1)="5",tbl_timesheet[[#This Row],[Total]],0)</f>
        <v>8</v>
      </c>
      <c r="N311" s="8">
        <f>IF(LEFT(tbl_timesheet[[#This Row],[Activity]],1)="6",tbl_timesheet[[#This Row],[Total]],0)</f>
        <v>0</v>
      </c>
    </row>
    <row r="312" spans="1:14" x14ac:dyDescent="0.25">
      <c r="A312" s="2">
        <v>43443</v>
      </c>
      <c r="B312" s="8">
        <v>18234011</v>
      </c>
      <c r="C312" s="1" t="s">
        <v>5</v>
      </c>
      <c r="D312" s="1" t="s">
        <v>153</v>
      </c>
      <c r="E312" s="3">
        <v>0</v>
      </c>
      <c r="F312" s="3">
        <v>0</v>
      </c>
      <c r="G312" s="3">
        <v>0</v>
      </c>
      <c r="H312" s="3">
        <v>4</v>
      </c>
      <c r="I312" s="3">
        <v>0</v>
      </c>
      <c r="J312" s="3">
        <v>0</v>
      </c>
      <c r="K312" s="3">
        <v>0</v>
      </c>
      <c r="L312" s="3">
        <v>4</v>
      </c>
      <c r="M312" s="8">
        <f>IF(LEFT(tbl_timesheet[[#This Row],[Activity]],1)="5",tbl_timesheet[[#This Row],[Total]],0)</f>
        <v>0</v>
      </c>
      <c r="N312" s="8">
        <f>IF(LEFT(tbl_timesheet[[#This Row],[Activity]],1)="6",tbl_timesheet[[#This Row],[Total]],0)</f>
        <v>4</v>
      </c>
    </row>
    <row r="313" spans="1:14" x14ac:dyDescent="0.25">
      <c r="A313" s="2">
        <v>43443</v>
      </c>
      <c r="B313" s="8">
        <v>18234012</v>
      </c>
      <c r="C313" s="1" t="s">
        <v>35</v>
      </c>
      <c r="D313" s="1" t="s">
        <v>153</v>
      </c>
      <c r="E313" s="3">
        <v>0</v>
      </c>
      <c r="F313" s="3">
        <v>0</v>
      </c>
      <c r="G313" s="3">
        <v>4</v>
      </c>
      <c r="H313" s="3">
        <v>3</v>
      </c>
      <c r="I313" s="3">
        <v>0</v>
      </c>
      <c r="J313" s="3">
        <v>0</v>
      </c>
      <c r="K313" s="3">
        <v>0</v>
      </c>
      <c r="L313" s="3">
        <v>7</v>
      </c>
      <c r="M313" s="8">
        <f>IF(LEFT(tbl_timesheet[[#This Row],[Activity]],1)="5",tbl_timesheet[[#This Row],[Total]],0)</f>
        <v>7</v>
      </c>
      <c r="N313" s="8">
        <f>IF(LEFT(tbl_timesheet[[#This Row],[Activity]],1)="6",tbl_timesheet[[#This Row],[Total]],0)</f>
        <v>0</v>
      </c>
    </row>
    <row r="314" spans="1:14" x14ac:dyDescent="0.25">
      <c r="A314" s="2">
        <v>43443</v>
      </c>
      <c r="B314" s="8">
        <v>18261014</v>
      </c>
      <c r="C314" s="1" t="s">
        <v>16</v>
      </c>
      <c r="D314" s="1" t="s">
        <v>153</v>
      </c>
      <c r="E314" s="3">
        <v>0</v>
      </c>
      <c r="F314" s="3">
        <v>4</v>
      </c>
      <c r="G314" s="3">
        <v>0</v>
      </c>
      <c r="H314" s="3">
        <v>0</v>
      </c>
      <c r="I314" s="3">
        <v>0</v>
      </c>
      <c r="J314" s="3">
        <v>0</v>
      </c>
      <c r="K314" s="3">
        <v>0</v>
      </c>
      <c r="L314" s="3">
        <v>4</v>
      </c>
      <c r="M314" s="8">
        <f>IF(LEFT(tbl_timesheet[[#This Row],[Activity]],1)="5",tbl_timesheet[[#This Row],[Total]],0)</f>
        <v>0</v>
      </c>
      <c r="N314" s="8">
        <f>IF(LEFT(tbl_timesheet[[#This Row],[Activity]],1)="6",tbl_timesheet[[#This Row],[Total]],0)</f>
        <v>4</v>
      </c>
    </row>
    <row r="315" spans="1:14" x14ac:dyDescent="0.25">
      <c r="A315" s="2">
        <v>43443</v>
      </c>
      <c r="B315" s="8">
        <v>18261112</v>
      </c>
      <c r="C315" s="1" t="s">
        <v>16</v>
      </c>
      <c r="D315" s="1" t="s">
        <v>153</v>
      </c>
      <c r="E315" s="3">
        <v>0</v>
      </c>
      <c r="F315" s="3">
        <v>0</v>
      </c>
      <c r="G315" s="3">
        <v>0</v>
      </c>
      <c r="H315" s="3">
        <v>2</v>
      </c>
      <c r="I315" s="3">
        <v>0</v>
      </c>
      <c r="J315" s="3">
        <v>0</v>
      </c>
      <c r="K315" s="3">
        <v>0</v>
      </c>
      <c r="L315" s="3">
        <v>2</v>
      </c>
      <c r="M315" s="8">
        <f>IF(LEFT(tbl_timesheet[[#This Row],[Activity]],1)="5",tbl_timesheet[[#This Row],[Total]],0)</f>
        <v>0</v>
      </c>
      <c r="N315" s="8">
        <f>IF(LEFT(tbl_timesheet[[#This Row],[Activity]],1)="6",tbl_timesheet[[#This Row],[Total]],0)</f>
        <v>2</v>
      </c>
    </row>
    <row r="316" spans="1:14" x14ac:dyDescent="0.25">
      <c r="A316" s="2">
        <v>43443</v>
      </c>
      <c r="B316" s="8">
        <v>18281049</v>
      </c>
      <c r="C316" s="1" t="s">
        <v>24</v>
      </c>
      <c r="D316" s="1" t="s">
        <v>153</v>
      </c>
      <c r="E316" s="3">
        <v>1</v>
      </c>
      <c r="F316" s="3">
        <v>2</v>
      </c>
      <c r="G316" s="3">
        <v>0</v>
      </c>
      <c r="H316" s="3">
        <v>0</v>
      </c>
      <c r="I316" s="3">
        <v>0</v>
      </c>
      <c r="J316" s="3">
        <v>0</v>
      </c>
      <c r="K316" s="3">
        <v>0</v>
      </c>
      <c r="L316" s="3">
        <v>3</v>
      </c>
      <c r="M316" s="8">
        <f>IF(LEFT(tbl_timesheet[[#This Row],[Activity]],1)="5",tbl_timesheet[[#This Row],[Total]],0)</f>
        <v>0</v>
      </c>
      <c r="N316" s="8">
        <f>IF(LEFT(tbl_timesheet[[#This Row],[Activity]],1)="6",tbl_timesheet[[#This Row],[Total]],0)</f>
        <v>3</v>
      </c>
    </row>
    <row r="317" spans="1:14" x14ac:dyDescent="0.25">
      <c r="A317" s="2">
        <v>43443</v>
      </c>
      <c r="B317" s="8">
        <v>18281049</v>
      </c>
      <c r="C317" s="1" t="s">
        <v>16</v>
      </c>
      <c r="D317" s="1" t="s">
        <v>153</v>
      </c>
      <c r="E317" s="3">
        <v>0</v>
      </c>
      <c r="F317" s="3">
        <v>2</v>
      </c>
      <c r="G317" s="3">
        <v>4</v>
      </c>
      <c r="H317" s="3">
        <v>0</v>
      </c>
      <c r="I317" s="3">
        <v>0</v>
      </c>
      <c r="J317" s="3">
        <v>0</v>
      </c>
      <c r="K317" s="3">
        <v>0</v>
      </c>
      <c r="L317" s="3">
        <v>6</v>
      </c>
      <c r="M317" s="8">
        <f>IF(LEFT(tbl_timesheet[[#This Row],[Activity]],1)="5",tbl_timesheet[[#This Row],[Total]],0)</f>
        <v>0</v>
      </c>
      <c r="N317" s="8">
        <f>IF(LEFT(tbl_timesheet[[#This Row],[Activity]],1)="6",tbl_timesheet[[#This Row],[Total]],0)</f>
        <v>6</v>
      </c>
    </row>
    <row r="318" spans="1:14" x14ac:dyDescent="0.25">
      <c r="A318" s="2">
        <v>43450</v>
      </c>
      <c r="B318" s="8">
        <v>18234009</v>
      </c>
      <c r="C318" s="1" t="s">
        <v>35</v>
      </c>
      <c r="D318" s="1" t="s">
        <v>153</v>
      </c>
      <c r="E318" s="3">
        <v>0</v>
      </c>
      <c r="F318" s="3">
        <v>5</v>
      </c>
      <c r="G318" s="3">
        <v>0</v>
      </c>
      <c r="H318" s="3">
        <v>0</v>
      </c>
      <c r="I318" s="3">
        <v>0</v>
      </c>
      <c r="J318" s="3">
        <v>0</v>
      </c>
      <c r="K318" s="3">
        <v>0</v>
      </c>
      <c r="L318" s="3">
        <v>5</v>
      </c>
      <c r="M318" s="8">
        <f>IF(LEFT(tbl_timesheet[[#This Row],[Activity]],1)="5",tbl_timesheet[[#This Row],[Total]],0)</f>
        <v>5</v>
      </c>
      <c r="N318" s="8">
        <f>IF(LEFT(tbl_timesheet[[#This Row],[Activity]],1)="6",tbl_timesheet[[#This Row],[Total]],0)</f>
        <v>0</v>
      </c>
    </row>
    <row r="319" spans="1:14" x14ac:dyDescent="0.25">
      <c r="A319" s="2">
        <v>43450</v>
      </c>
      <c r="B319" s="8">
        <v>18234009</v>
      </c>
      <c r="C319" s="1" t="s">
        <v>5</v>
      </c>
      <c r="D319" s="1" t="s">
        <v>153</v>
      </c>
      <c r="E319" s="3">
        <v>4</v>
      </c>
      <c r="F319" s="3">
        <v>0</v>
      </c>
      <c r="G319" s="3">
        <v>0</v>
      </c>
      <c r="H319" s="3">
        <v>0</v>
      </c>
      <c r="I319" s="3">
        <v>0</v>
      </c>
      <c r="J319" s="3">
        <v>0</v>
      </c>
      <c r="K319" s="3">
        <v>0</v>
      </c>
      <c r="L319" s="3">
        <v>4</v>
      </c>
      <c r="M319" s="8">
        <f>IF(LEFT(tbl_timesheet[[#This Row],[Activity]],1)="5",tbl_timesheet[[#This Row],[Total]],0)</f>
        <v>0</v>
      </c>
      <c r="N319" s="8">
        <f>IF(LEFT(tbl_timesheet[[#This Row],[Activity]],1)="6",tbl_timesheet[[#This Row],[Total]],0)</f>
        <v>4</v>
      </c>
    </row>
    <row r="320" spans="1:14" x14ac:dyDescent="0.25">
      <c r="A320" s="2">
        <v>43450</v>
      </c>
      <c r="B320" s="8">
        <v>18234012</v>
      </c>
      <c r="C320" s="1" t="s">
        <v>5</v>
      </c>
      <c r="D320" s="1" t="s">
        <v>153</v>
      </c>
      <c r="E320" s="3">
        <v>4</v>
      </c>
      <c r="F320" s="3">
        <v>0</v>
      </c>
      <c r="G320" s="3">
        <v>0</v>
      </c>
      <c r="H320" s="3">
        <v>0</v>
      </c>
      <c r="I320" s="3">
        <v>0</v>
      </c>
      <c r="J320" s="3">
        <v>0</v>
      </c>
      <c r="K320" s="3">
        <v>0</v>
      </c>
      <c r="L320" s="3">
        <v>4</v>
      </c>
      <c r="M320" s="8">
        <f>IF(LEFT(tbl_timesheet[[#This Row],[Activity]],1)="5",tbl_timesheet[[#This Row],[Total]],0)</f>
        <v>0</v>
      </c>
      <c r="N320" s="8">
        <f>IF(LEFT(tbl_timesheet[[#This Row],[Activity]],1)="6",tbl_timesheet[[#This Row],[Total]],0)</f>
        <v>4</v>
      </c>
    </row>
    <row r="321" spans="1:14" x14ac:dyDescent="0.25">
      <c r="A321" s="2">
        <v>43450</v>
      </c>
      <c r="B321" s="8">
        <v>18234012</v>
      </c>
      <c r="C321" s="1" t="s">
        <v>34</v>
      </c>
      <c r="D321" s="1" t="s">
        <v>153</v>
      </c>
      <c r="E321" s="3">
        <v>0</v>
      </c>
      <c r="F321" s="3">
        <v>4</v>
      </c>
      <c r="G321" s="3">
        <v>0</v>
      </c>
      <c r="H321" s="3">
        <v>0</v>
      </c>
      <c r="I321" s="3">
        <v>0</v>
      </c>
      <c r="J321" s="3">
        <v>0</v>
      </c>
      <c r="K321" s="3">
        <v>0</v>
      </c>
      <c r="L321" s="3">
        <v>4</v>
      </c>
      <c r="M321" s="8">
        <f>IF(LEFT(tbl_timesheet[[#This Row],[Activity]],1)="5",tbl_timesheet[[#This Row],[Total]],0)</f>
        <v>0</v>
      </c>
      <c r="N321" s="8">
        <f>IF(LEFT(tbl_timesheet[[#This Row],[Activity]],1)="6",tbl_timesheet[[#This Row],[Total]],0)</f>
        <v>4</v>
      </c>
    </row>
    <row r="322" spans="1:14" x14ac:dyDescent="0.25">
      <c r="A322" s="2">
        <v>43450</v>
      </c>
      <c r="B322" s="8">
        <v>18234023</v>
      </c>
      <c r="C322" s="1" t="s">
        <v>35</v>
      </c>
      <c r="D322" s="1" t="s">
        <v>153</v>
      </c>
      <c r="E322" s="3">
        <v>0</v>
      </c>
      <c r="F322" s="3">
        <v>0</v>
      </c>
      <c r="G322" s="3">
        <v>5</v>
      </c>
      <c r="H322" s="3">
        <v>0</v>
      </c>
      <c r="I322" s="3">
        <v>0</v>
      </c>
      <c r="J322" s="3">
        <v>0</v>
      </c>
      <c r="K322" s="3">
        <v>0</v>
      </c>
      <c r="L322" s="3">
        <v>5</v>
      </c>
      <c r="M322" s="8">
        <f>IF(LEFT(tbl_timesheet[[#This Row],[Activity]],1)="5",tbl_timesheet[[#This Row],[Total]],0)</f>
        <v>5</v>
      </c>
      <c r="N322" s="8">
        <f>IF(LEFT(tbl_timesheet[[#This Row],[Activity]],1)="6",tbl_timesheet[[#This Row],[Total]],0)</f>
        <v>0</v>
      </c>
    </row>
    <row r="323" spans="1:14" x14ac:dyDescent="0.25">
      <c r="A323" s="2">
        <v>43450</v>
      </c>
      <c r="B323" s="8">
        <v>18234026</v>
      </c>
      <c r="C323" s="1" t="s">
        <v>35</v>
      </c>
      <c r="D323" s="1" t="s">
        <v>153</v>
      </c>
      <c r="E323" s="3">
        <v>0</v>
      </c>
      <c r="F323" s="3">
        <v>0</v>
      </c>
      <c r="G323" s="3">
        <v>0</v>
      </c>
      <c r="H323" s="3">
        <v>5</v>
      </c>
      <c r="I323" s="3">
        <v>0</v>
      </c>
      <c r="J323" s="3">
        <v>0</v>
      </c>
      <c r="K323" s="3">
        <v>0</v>
      </c>
      <c r="L323" s="3">
        <v>5</v>
      </c>
      <c r="M323" s="8">
        <f>IF(LEFT(tbl_timesheet[[#This Row],[Activity]],1)="5",tbl_timesheet[[#This Row],[Total]],0)</f>
        <v>5</v>
      </c>
      <c r="N323" s="8">
        <f>IF(LEFT(tbl_timesheet[[#This Row],[Activity]],1)="6",tbl_timesheet[[#This Row],[Total]],0)</f>
        <v>0</v>
      </c>
    </row>
    <row r="324" spans="1:14" x14ac:dyDescent="0.25">
      <c r="A324" s="2">
        <v>43450</v>
      </c>
      <c r="B324" s="8">
        <v>18234027</v>
      </c>
      <c r="C324" s="1" t="s">
        <v>35</v>
      </c>
      <c r="D324" s="1" t="s">
        <v>153</v>
      </c>
      <c r="E324" s="3">
        <v>0</v>
      </c>
      <c r="F324" s="3">
        <v>0</v>
      </c>
      <c r="G324" s="3">
        <v>0</v>
      </c>
      <c r="H324" s="3">
        <v>0</v>
      </c>
      <c r="I324" s="3">
        <v>4</v>
      </c>
      <c r="J324" s="3">
        <v>0</v>
      </c>
      <c r="K324" s="3">
        <v>0</v>
      </c>
      <c r="L324" s="3">
        <v>4</v>
      </c>
      <c r="M324" s="8">
        <f>IF(LEFT(tbl_timesheet[[#This Row],[Activity]],1)="5",tbl_timesheet[[#This Row],[Total]],0)</f>
        <v>4</v>
      </c>
      <c r="N324" s="8">
        <f>IF(LEFT(tbl_timesheet[[#This Row],[Activity]],1)="6",tbl_timesheet[[#This Row],[Total]],0)</f>
        <v>0</v>
      </c>
    </row>
    <row r="325" spans="1:14" x14ac:dyDescent="0.25">
      <c r="A325" s="2">
        <v>43450</v>
      </c>
      <c r="B325" s="8">
        <v>18234032</v>
      </c>
      <c r="C325" s="1" t="s">
        <v>34</v>
      </c>
      <c r="D325" s="1" t="s">
        <v>153</v>
      </c>
      <c r="E325" s="3">
        <v>1</v>
      </c>
      <c r="F325" s="3">
        <v>0</v>
      </c>
      <c r="G325" s="3">
        <v>4</v>
      </c>
      <c r="H325" s="3">
        <v>0</v>
      </c>
      <c r="I325" s="3">
        <v>0</v>
      </c>
      <c r="J325" s="3">
        <v>0</v>
      </c>
      <c r="K325" s="3">
        <v>0</v>
      </c>
      <c r="L325" s="3">
        <v>5</v>
      </c>
      <c r="M325" s="8">
        <f>IF(LEFT(tbl_timesheet[[#This Row],[Activity]],1)="5",tbl_timesheet[[#This Row],[Total]],0)</f>
        <v>0</v>
      </c>
      <c r="N325" s="8">
        <f>IF(LEFT(tbl_timesheet[[#This Row],[Activity]],1)="6",tbl_timesheet[[#This Row],[Total]],0)</f>
        <v>5</v>
      </c>
    </row>
    <row r="326" spans="1:14" x14ac:dyDescent="0.25">
      <c r="A326" s="2">
        <v>43450</v>
      </c>
      <c r="B326" s="8">
        <v>18234032</v>
      </c>
      <c r="C326" s="1" t="s">
        <v>5</v>
      </c>
      <c r="D326" s="1" t="s">
        <v>153</v>
      </c>
      <c r="E326" s="3">
        <v>0</v>
      </c>
      <c r="F326" s="3">
        <v>0</v>
      </c>
      <c r="G326" s="3">
        <v>0</v>
      </c>
      <c r="H326" s="3">
        <v>4</v>
      </c>
      <c r="I326" s="3">
        <v>0</v>
      </c>
      <c r="J326" s="3">
        <v>0</v>
      </c>
      <c r="K326" s="3">
        <v>0</v>
      </c>
      <c r="L326" s="3">
        <v>4</v>
      </c>
      <c r="M326" s="8">
        <f>IF(LEFT(tbl_timesheet[[#This Row],[Activity]],1)="5",tbl_timesheet[[#This Row],[Total]],0)</f>
        <v>0</v>
      </c>
      <c r="N326" s="8">
        <f>IF(LEFT(tbl_timesheet[[#This Row],[Activity]],1)="6",tbl_timesheet[[#This Row],[Total]],0)</f>
        <v>4</v>
      </c>
    </row>
    <row r="327" spans="1:14" x14ac:dyDescent="0.25">
      <c r="A327" s="2">
        <v>43450</v>
      </c>
      <c r="B327" s="8">
        <v>18261112</v>
      </c>
      <c r="C327" s="1" t="s">
        <v>5</v>
      </c>
      <c r="D327" s="1" t="s">
        <v>153</v>
      </c>
      <c r="E327" s="3">
        <v>1</v>
      </c>
      <c r="F327" s="3">
        <v>0</v>
      </c>
      <c r="G327" s="3">
        <v>0</v>
      </c>
      <c r="H327" s="3">
        <v>0</v>
      </c>
      <c r="I327" s="3">
        <v>0</v>
      </c>
      <c r="J327" s="3">
        <v>0</v>
      </c>
      <c r="K327" s="3">
        <v>0</v>
      </c>
      <c r="L327" s="3">
        <v>1</v>
      </c>
      <c r="M327" s="8">
        <f>IF(LEFT(tbl_timesheet[[#This Row],[Activity]],1)="5",tbl_timesheet[[#This Row],[Total]],0)</f>
        <v>0</v>
      </c>
      <c r="N327" s="8">
        <f>IF(LEFT(tbl_timesheet[[#This Row],[Activity]],1)="6",tbl_timesheet[[#This Row],[Total]],0)</f>
        <v>1</v>
      </c>
    </row>
    <row r="328" spans="1:14" x14ac:dyDescent="0.25">
      <c r="A328" s="2">
        <v>43457</v>
      </c>
      <c r="B328" s="8">
        <v>18234008</v>
      </c>
      <c r="C328" s="1" t="s">
        <v>6</v>
      </c>
      <c r="D328" s="1" t="s">
        <v>153</v>
      </c>
      <c r="E328" s="3">
        <v>5</v>
      </c>
      <c r="F328" s="3">
        <v>0</v>
      </c>
      <c r="G328" s="3">
        <v>0</v>
      </c>
      <c r="H328" s="3">
        <v>0</v>
      </c>
      <c r="I328" s="3">
        <v>0</v>
      </c>
      <c r="J328" s="3">
        <v>0</v>
      </c>
      <c r="K328" s="3">
        <v>0</v>
      </c>
      <c r="L328" s="3">
        <v>5</v>
      </c>
      <c r="M328" s="8">
        <f>IF(LEFT(tbl_timesheet[[#This Row],[Activity]],1)="5",tbl_timesheet[[#This Row],[Total]],0)</f>
        <v>0</v>
      </c>
      <c r="N328" s="8">
        <f>IF(LEFT(tbl_timesheet[[#This Row],[Activity]],1)="6",tbl_timesheet[[#This Row],[Total]],0)</f>
        <v>5</v>
      </c>
    </row>
    <row r="329" spans="1:14" x14ac:dyDescent="0.25">
      <c r="A329" s="2">
        <v>43457</v>
      </c>
      <c r="B329" s="8">
        <v>18234008</v>
      </c>
      <c r="C329" s="1" t="s">
        <v>1</v>
      </c>
      <c r="D329" s="1" t="s">
        <v>153</v>
      </c>
      <c r="E329" s="3">
        <v>5</v>
      </c>
      <c r="F329" s="3">
        <v>0</v>
      </c>
      <c r="G329" s="3">
        <v>0</v>
      </c>
      <c r="H329" s="3">
        <v>0</v>
      </c>
      <c r="I329" s="3">
        <v>0</v>
      </c>
      <c r="J329" s="3">
        <v>0</v>
      </c>
      <c r="K329" s="3">
        <v>0</v>
      </c>
      <c r="L329" s="3">
        <v>5</v>
      </c>
      <c r="M329" s="8">
        <f>IF(LEFT(tbl_timesheet[[#This Row],[Activity]],1)="5",tbl_timesheet[[#This Row],[Total]],0)</f>
        <v>0</v>
      </c>
      <c r="N329" s="8">
        <f>IF(LEFT(tbl_timesheet[[#This Row],[Activity]],1)="6",tbl_timesheet[[#This Row],[Total]],0)</f>
        <v>5</v>
      </c>
    </row>
    <row r="330" spans="1:14" x14ac:dyDescent="0.25">
      <c r="A330" s="2">
        <v>43457</v>
      </c>
      <c r="B330" s="8">
        <v>18234008</v>
      </c>
      <c r="C330" s="1" t="s">
        <v>30</v>
      </c>
      <c r="D330" s="1" t="s">
        <v>153</v>
      </c>
      <c r="E330" s="3">
        <v>0</v>
      </c>
      <c r="F330" s="3">
        <v>0</v>
      </c>
      <c r="G330" s="3">
        <v>3</v>
      </c>
      <c r="H330" s="3">
        <v>0</v>
      </c>
      <c r="I330" s="3">
        <v>0</v>
      </c>
      <c r="J330" s="3">
        <v>0</v>
      </c>
      <c r="K330" s="3">
        <v>0</v>
      </c>
      <c r="L330" s="3">
        <v>3</v>
      </c>
      <c r="M330" s="8">
        <f>IF(LEFT(tbl_timesheet[[#This Row],[Activity]],1)="5",tbl_timesheet[[#This Row],[Total]],0)</f>
        <v>0</v>
      </c>
      <c r="N330" s="8">
        <f>IF(LEFT(tbl_timesheet[[#This Row],[Activity]],1)="6",tbl_timesheet[[#This Row],[Total]],0)</f>
        <v>3</v>
      </c>
    </row>
    <row r="331" spans="1:14" x14ac:dyDescent="0.25">
      <c r="A331" s="2">
        <v>43457</v>
      </c>
      <c r="B331" s="8">
        <v>18234011</v>
      </c>
      <c r="C331" s="1" t="s">
        <v>30</v>
      </c>
      <c r="D331" s="1" t="s">
        <v>153</v>
      </c>
      <c r="E331" s="3">
        <v>0</v>
      </c>
      <c r="F331" s="3">
        <v>0</v>
      </c>
      <c r="G331" s="3">
        <v>2</v>
      </c>
      <c r="H331" s="3">
        <v>0</v>
      </c>
      <c r="I331" s="3">
        <v>0</v>
      </c>
      <c r="J331" s="3">
        <v>0</v>
      </c>
      <c r="K331" s="3">
        <v>0</v>
      </c>
      <c r="L331" s="3">
        <v>2</v>
      </c>
      <c r="M331" s="8">
        <f>IF(LEFT(tbl_timesheet[[#This Row],[Activity]],1)="5",tbl_timesheet[[#This Row],[Total]],0)</f>
        <v>0</v>
      </c>
      <c r="N331" s="8">
        <f>IF(LEFT(tbl_timesheet[[#This Row],[Activity]],1)="6",tbl_timesheet[[#This Row],[Total]],0)</f>
        <v>2</v>
      </c>
    </row>
    <row r="332" spans="1:14" x14ac:dyDescent="0.25">
      <c r="A332" s="2">
        <v>43457</v>
      </c>
      <c r="B332" s="8">
        <v>18234011</v>
      </c>
      <c r="C332" s="1" t="s">
        <v>6</v>
      </c>
      <c r="D332" s="1" t="s">
        <v>153</v>
      </c>
      <c r="E332" s="3">
        <v>0</v>
      </c>
      <c r="F332" s="3">
        <v>4</v>
      </c>
      <c r="G332" s="3">
        <v>0</v>
      </c>
      <c r="H332" s="3">
        <v>0</v>
      </c>
      <c r="I332" s="3">
        <v>0</v>
      </c>
      <c r="J332" s="3">
        <v>0</v>
      </c>
      <c r="K332" s="3">
        <v>0</v>
      </c>
      <c r="L332" s="3">
        <v>4</v>
      </c>
      <c r="M332" s="8">
        <f>IF(LEFT(tbl_timesheet[[#This Row],[Activity]],1)="5",tbl_timesheet[[#This Row],[Total]],0)</f>
        <v>0</v>
      </c>
      <c r="N332" s="8">
        <f>IF(LEFT(tbl_timesheet[[#This Row],[Activity]],1)="6",tbl_timesheet[[#This Row],[Total]],0)</f>
        <v>4</v>
      </c>
    </row>
    <row r="333" spans="1:14" x14ac:dyDescent="0.25">
      <c r="A333" s="2">
        <v>43457</v>
      </c>
      <c r="B333" s="8">
        <v>18234011</v>
      </c>
      <c r="C333" s="1" t="s">
        <v>1</v>
      </c>
      <c r="D333" s="1" t="s">
        <v>153</v>
      </c>
      <c r="E333" s="3">
        <v>0</v>
      </c>
      <c r="F333" s="3">
        <v>1.5</v>
      </c>
      <c r="G333" s="3">
        <v>0</v>
      </c>
      <c r="H333" s="3">
        <v>0</v>
      </c>
      <c r="I333" s="3">
        <v>0</v>
      </c>
      <c r="J333" s="3">
        <v>0</v>
      </c>
      <c r="K333" s="3">
        <v>0</v>
      </c>
      <c r="L333" s="3">
        <v>1.5</v>
      </c>
      <c r="M333" s="8">
        <f>IF(LEFT(tbl_timesheet[[#This Row],[Activity]],1)="5",tbl_timesheet[[#This Row],[Total]],0)</f>
        <v>0</v>
      </c>
      <c r="N333" s="8">
        <f>IF(LEFT(tbl_timesheet[[#This Row],[Activity]],1)="6",tbl_timesheet[[#This Row],[Total]],0)</f>
        <v>1.5</v>
      </c>
    </row>
    <row r="334" spans="1:14" x14ac:dyDescent="0.25">
      <c r="A334" s="2">
        <v>43457</v>
      </c>
      <c r="B334" s="8">
        <v>18234026</v>
      </c>
      <c r="C334" s="1" t="s">
        <v>35</v>
      </c>
      <c r="D334" s="1" t="s">
        <v>153</v>
      </c>
      <c r="E334" s="3">
        <v>0</v>
      </c>
      <c r="F334" s="3">
        <v>0</v>
      </c>
      <c r="G334" s="3">
        <v>4</v>
      </c>
      <c r="H334" s="3">
        <v>0</v>
      </c>
      <c r="I334" s="3">
        <v>0</v>
      </c>
      <c r="J334" s="3">
        <v>0</v>
      </c>
      <c r="K334" s="3">
        <v>0</v>
      </c>
      <c r="L334" s="3">
        <v>4</v>
      </c>
      <c r="M334" s="8">
        <f>IF(LEFT(tbl_timesheet[[#This Row],[Activity]],1)="5",tbl_timesheet[[#This Row],[Total]],0)</f>
        <v>4</v>
      </c>
      <c r="N334" s="8">
        <f>IF(LEFT(tbl_timesheet[[#This Row],[Activity]],1)="6",tbl_timesheet[[#This Row],[Total]],0)</f>
        <v>0</v>
      </c>
    </row>
    <row r="335" spans="1:14" x14ac:dyDescent="0.25">
      <c r="A335" s="2">
        <v>43457</v>
      </c>
      <c r="B335" s="8">
        <v>18234027</v>
      </c>
      <c r="C335" s="1" t="s">
        <v>35</v>
      </c>
      <c r="D335" s="1" t="s">
        <v>153</v>
      </c>
      <c r="E335" s="3">
        <v>0</v>
      </c>
      <c r="F335" s="3">
        <v>0</v>
      </c>
      <c r="G335" s="3">
        <v>0</v>
      </c>
      <c r="H335" s="3">
        <v>4</v>
      </c>
      <c r="I335" s="3">
        <v>0</v>
      </c>
      <c r="J335" s="3">
        <v>0</v>
      </c>
      <c r="K335" s="3">
        <v>0</v>
      </c>
      <c r="L335" s="3">
        <v>4</v>
      </c>
      <c r="M335" s="8">
        <f>IF(LEFT(tbl_timesheet[[#This Row],[Activity]],1)="5",tbl_timesheet[[#This Row],[Total]],0)</f>
        <v>4</v>
      </c>
      <c r="N335" s="8">
        <f>IF(LEFT(tbl_timesheet[[#This Row],[Activity]],1)="6",tbl_timesheet[[#This Row],[Total]],0)</f>
        <v>0</v>
      </c>
    </row>
    <row r="336" spans="1:14" x14ac:dyDescent="0.25">
      <c r="A336" s="2">
        <v>43457</v>
      </c>
      <c r="B336" s="8">
        <v>18234027</v>
      </c>
      <c r="C336" s="1" t="s">
        <v>90</v>
      </c>
      <c r="D336" s="1" t="s">
        <v>153</v>
      </c>
      <c r="E336" s="3">
        <v>0</v>
      </c>
      <c r="F336" s="3">
        <v>0</v>
      </c>
      <c r="G336" s="3">
        <v>0</v>
      </c>
      <c r="H336" s="3">
        <v>0</v>
      </c>
      <c r="I336" s="3">
        <v>2</v>
      </c>
      <c r="J336" s="3">
        <v>0</v>
      </c>
      <c r="K336" s="3">
        <v>0</v>
      </c>
      <c r="L336" s="3">
        <v>2</v>
      </c>
      <c r="M336" s="8">
        <f>IF(LEFT(tbl_timesheet[[#This Row],[Activity]],1)="5",tbl_timesheet[[#This Row],[Total]],0)</f>
        <v>2</v>
      </c>
      <c r="N336" s="8">
        <f>IF(LEFT(tbl_timesheet[[#This Row],[Activity]],1)="6",tbl_timesheet[[#This Row],[Total]],0)</f>
        <v>0</v>
      </c>
    </row>
    <row r="337" spans="1:14" x14ac:dyDescent="0.25">
      <c r="A337" s="2">
        <v>43457</v>
      </c>
      <c r="B337" s="8">
        <v>18234032</v>
      </c>
      <c r="C337" s="1" t="s">
        <v>5</v>
      </c>
      <c r="D337" s="1" t="s">
        <v>153</v>
      </c>
      <c r="E337" s="3">
        <v>0</v>
      </c>
      <c r="F337" s="3">
        <v>0</v>
      </c>
      <c r="G337" s="3">
        <v>0</v>
      </c>
      <c r="H337" s="3">
        <v>5</v>
      </c>
      <c r="I337" s="3">
        <v>0</v>
      </c>
      <c r="J337" s="3">
        <v>0</v>
      </c>
      <c r="K337" s="3">
        <v>0</v>
      </c>
      <c r="L337" s="3">
        <v>5</v>
      </c>
      <c r="M337" s="8">
        <f>IF(LEFT(tbl_timesheet[[#This Row],[Activity]],1)="5",tbl_timesheet[[#This Row],[Total]],0)</f>
        <v>0</v>
      </c>
      <c r="N337" s="8">
        <f>IF(LEFT(tbl_timesheet[[#This Row],[Activity]],1)="6",tbl_timesheet[[#This Row],[Total]],0)</f>
        <v>5</v>
      </c>
    </row>
    <row r="338" spans="1:14" x14ac:dyDescent="0.25">
      <c r="A338" s="2">
        <v>43457</v>
      </c>
      <c r="B338" s="8">
        <v>18261112</v>
      </c>
      <c r="C338" s="1" t="s">
        <v>5</v>
      </c>
      <c r="D338" s="1" t="s">
        <v>153</v>
      </c>
      <c r="E338" s="3">
        <v>0</v>
      </c>
      <c r="F338" s="3">
        <v>0</v>
      </c>
      <c r="G338" s="3">
        <v>2</v>
      </c>
      <c r="H338" s="3">
        <v>0</v>
      </c>
      <c r="I338" s="3">
        <v>0</v>
      </c>
      <c r="J338" s="3">
        <v>0</v>
      </c>
      <c r="K338" s="3">
        <v>0</v>
      </c>
      <c r="L338" s="3">
        <v>2</v>
      </c>
      <c r="M338" s="8">
        <f>IF(LEFT(tbl_timesheet[[#This Row],[Activity]],1)="5",tbl_timesheet[[#This Row],[Total]],0)</f>
        <v>0</v>
      </c>
      <c r="N338" s="8">
        <f>IF(LEFT(tbl_timesheet[[#This Row],[Activity]],1)="6",tbl_timesheet[[#This Row],[Total]],0)</f>
        <v>2</v>
      </c>
    </row>
    <row r="339" spans="1:14" x14ac:dyDescent="0.25">
      <c r="A339" s="2">
        <v>43457</v>
      </c>
      <c r="B339" s="8">
        <v>18281020</v>
      </c>
      <c r="C339" s="1" t="s">
        <v>28</v>
      </c>
      <c r="D339" s="1" t="s">
        <v>153</v>
      </c>
      <c r="E339" s="3">
        <v>0</v>
      </c>
      <c r="F339" s="3">
        <v>2.5</v>
      </c>
      <c r="G339" s="3">
        <v>0</v>
      </c>
      <c r="H339" s="3">
        <v>0</v>
      </c>
      <c r="I339" s="3">
        <v>0</v>
      </c>
      <c r="J339" s="3">
        <v>0</v>
      </c>
      <c r="K339" s="3">
        <v>0</v>
      </c>
      <c r="L339" s="3">
        <v>2.5</v>
      </c>
      <c r="M339" s="8">
        <f>IF(LEFT(tbl_timesheet[[#This Row],[Activity]],1)="5",tbl_timesheet[[#This Row],[Total]],0)</f>
        <v>0</v>
      </c>
      <c r="N339" s="8">
        <f>IF(LEFT(tbl_timesheet[[#This Row],[Activity]],1)="6",tbl_timesheet[[#This Row],[Total]],0)</f>
        <v>2.5</v>
      </c>
    </row>
    <row r="340" spans="1:14" x14ac:dyDescent="0.25">
      <c r="A340" s="2">
        <v>43464</v>
      </c>
      <c r="B340" s="8">
        <v>18000000</v>
      </c>
      <c r="C340" s="1" t="s">
        <v>3</v>
      </c>
      <c r="D340" s="1" t="s">
        <v>153</v>
      </c>
      <c r="E340" s="3">
        <v>8</v>
      </c>
      <c r="F340" s="3">
        <v>8</v>
      </c>
      <c r="G340" s="3">
        <v>0</v>
      </c>
      <c r="H340" s="3">
        <v>0</v>
      </c>
      <c r="I340" s="3">
        <v>0</v>
      </c>
      <c r="J340" s="3">
        <v>0</v>
      </c>
      <c r="K340" s="3">
        <v>0</v>
      </c>
      <c r="L340" s="3">
        <v>16</v>
      </c>
      <c r="M340" s="8">
        <f>IF(LEFT(tbl_timesheet[[#This Row],[Activity]],1)="5",tbl_timesheet[[#This Row],[Total]],0)</f>
        <v>0</v>
      </c>
      <c r="N340" s="8">
        <f>IF(LEFT(tbl_timesheet[[#This Row],[Activity]],1)="6",tbl_timesheet[[#This Row],[Total]],0)</f>
        <v>16</v>
      </c>
    </row>
    <row r="341" spans="1:14" x14ac:dyDescent="0.25">
      <c r="A341" s="2">
        <v>43464</v>
      </c>
      <c r="B341" s="8">
        <v>18000000</v>
      </c>
      <c r="C341" s="1" t="s">
        <v>31</v>
      </c>
      <c r="D341" s="1" t="s">
        <v>153</v>
      </c>
      <c r="E341" s="3">
        <v>0</v>
      </c>
      <c r="F341" s="3">
        <v>0</v>
      </c>
      <c r="G341" s="3">
        <v>8</v>
      </c>
      <c r="H341" s="3">
        <v>8</v>
      </c>
      <c r="I341" s="3">
        <v>8</v>
      </c>
      <c r="J341" s="3">
        <v>0</v>
      </c>
      <c r="K341" s="3">
        <v>0</v>
      </c>
      <c r="L341" s="3">
        <v>24</v>
      </c>
      <c r="M341" s="8">
        <f>IF(LEFT(tbl_timesheet[[#This Row],[Activity]],1)="5",tbl_timesheet[[#This Row],[Total]],0)</f>
        <v>0</v>
      </c>
      <c r="N341" s="8">
        <f>IF(LEFT(tbl_timesheet[[#This Row],[Activity]],1)="6",tbl_timesheet[[#This Row],[Total]],0)</f>
        <v>24</v>
      </c>
    </row>
    <row r="342" spans="1:14" x14ac:dyDescent="0.25">
      <c r="A342" s="2">
        <v>43471</v>
      </c>
      <c r="B342" s="8">
        <v>18000000</v>
      </c>
      <c r="C342" s="1" t="s">
        <v>3</v>
      </c>
      <c r="D342" s="1" t="s">
        <v>153</v>
      </c>
      <c r="E342" s="3">
        <v>0</v>
      </c>
      <c r="F342" s="3">
        <v>8</v>
      </c>
      <c r="G342" s="3">
        <v>0</v>
      </c>
      <c r="H342" s="3">
        <v>0</v>
      </c>
      <c r="I342" s="3">
        <v>0</v>
      </c>
      <c r="J342" s="3">
        <v>0</v>
      </c>
      <c r="K342" s="3">
        <v>0</v>
      </c>
      <c r="L342" s="3">
        <v>8</v>
      </c>
      <c r="M342" s="8">
        <f>IF(LEFT(tbl_timesheet[[#This Row],[Activity]],1)="5",tbl_timesheet[[#This Row],[Total]],0)</f>
        <v>0</v>
      </c>
      <c r="N342" s="8">
        <f>IF(LEFT(tbl_timesheet[[#This Row],[Activity]],1)="6",tbl_timesheet[[#This Row],[Total]],0)</f>
        <v>8</v>
      </c>
    </row>
    <row r="343" spans="1:14" x14ac:dyDescent="0.25">
      <c r="A343" s="2">
        <v>43471</v>
      </c>
      <c r="B343" s="8">
        <v>18000000</v>
      </c>
      <c r="C343" s="1" t="s">
        <v>31</v>
      </c>
      <c r="D343" s="1" t="s">
        <v>153</v>
      </c>
      <c r="E343" s="3">
        <v>8</v>
      </c>
      <c r="F343" s="3">
        <v>0</v>
      </c>
      <c r="G343" s="3">
        <v>8</v>
      </c>
      <c r="H343" s="3">
        <v>0</v>
      </c>
      <c r="I343" s="3">
        <v>0</v>
      </c>
      <c r="J343" s="3">
        <v>0</v>
      </c>
      <c r="K343" s="3">
        <v>0</v>
      </c>
      <c r="L343" s="3">
        <v>16</v>
      </c>
      <c r="M343" s="8">
        <f>IF(LEFT(tbl_timesheet[[#This Row],[Activity]],1)="5",tbl_timesheet[[#This Row],[Total]],0)</f>
        <v>0</v>
      </c>
      <c r="N343" s="8">
        <f>IF(LEFT(tbl_timesheet[[#This Row],[Activity]],1)="6",tbl_timesheet[[#This Row],[Total]],0)</f>
        <v>16</v>
      </c>
    </row>
    <row r="344" spans="1:14" x14ac:dyDescent="0.25">
      <c r="A344" s="2">
        <v>43471</v>
      </c>
      <c r="B344" s="8">
        <v>18234023</v>
      </c>
      <c r="C344" s="1" t="s">
        <v>5</v>
      </c>
      <c r="D344" s="1" t="s">
        <v>153</v>
      </c>
      <c r="E344" s="3">
        <v>0</v>
      </c>
      <c r="F344" s="3">
        <v>0</v>
      </c>
      <c r="G344" s="3">
        <v>0</v>
      </c>
      <c r="H344" s="3">
        <v>1</v>
      </c>
      <c r="I344" s="3">
        <v>0</v>
      </c>
      <c r="J344" s="3">
        <v>0</v>
      </c>
      <c r="K344" s="3">
        <v>0</v>
      </c>
      <c r="L344" s="3">
        <v>1</v>
      </c>
      <c r="M344" s="8">
        <f>IF(LEFT(tbl_timesheet[[#This Row],[Activity]],1)="5",tbl_timesheet[[#This Row],[Total]],0)</f>
        <v>0</v>
      </c>
      <c r="N344" s="8">
        <f>IF(LEFT(tbl_timesheet[[#This Row],[Activity]],1)="6",tbl_timesheet[[#This Row],[Total]],0)</f>
        <v>1</v>
      </c>
    </row>
    <row r="345" spans="1:14" x14ac:dyDescent="0.25">
      <c r="A345" s="2">
        <v>43471</v>
      </c>
      <c r="B345" s="8">
        <v>18261116</v>
      </c>
      <c r="C345" s="1" t="s">
        <v>24</v>
      </c>
      <c r="D345" s="1" t="s">
        <v>153</v>
      </c>
      <c r="E345" s="3">
        <v>0</v>
      </c>
      <c r="F345" s="3">
        <v>0</v>
      </c>
      <c r="G345" s="3">
        <v>0</v>
      </c>
      <c r="H345" s="3">
        <v>1</v>
      </c>
      <c r="I345" s="3">
        <v>0</v>
      </c>
      <c r="J345" s="3">
        <v>0</v>
      </c>
      <c r="K345" s="3">
        <v>0</v>
      </c>
      <c r="L345" s="3">
        <v>1</v>
      </c>
      <c r="M345" s="8">
        <f>IF(LEFT(tbl_timesheet[[#This Row],[Activity]],1)="5",tbl_timesheet[[#This Row],[Total]],0)</f>
        <v>0</v>
      </c>
      <c r="N345" s="8">
        <f>IF(LEFT(tbl_timesheet[[#This Row],[Activity]],1)="6",tbl_timesheet[[#This Row],[Total]],0)</f>
        <v>1</v>
      </c>
    </row>
    <row r="346" spans="1:14" x14ac:dyDescent="0.25">
      <c r="A346" s="2">
        <v>43471</v>
      </c>
      <c r="B346" s="8">
        <v>18261116</v>
      </c>
      <c r="C346" s="1" t="s">
        <v>5</v>
      </c>
      <c r="D346" s="1" t="s">
        <v>153</v>
      </c>
      <c r="E346" s="3">
        <v>0</v>
      </c>
      <c r="F346" s="3">
        <v>0</v>
      </c>
      <c r="G346" s="3">
        <v>0</v>
      </c>
      <c r="H346" s="3">
        <v>3</v>
      </c>
      <c r="I346" s="3">
        <v>0</v>
      </c>
      <c r="J346" s="3">
        <v>0</v>
      </c>
      <c r="K346" s="3">
        <v>0</v>
      </c>
      <c r="L346" s="3">
        <v>3</v>
      </c>
      <c r="M346" s="8">
        <f>IF(LEFT(tbl_timesheet[[#This Row],[Activity]],1)="5",tbl_timesheet[[#This Row],[Total]],0)</f>
        <v>0</v>
      </c>
      <c r="N346" s="8">
        <f>IF(LEFT(tbl_timesheet[[#This Row],[Activity]],1)="6",tbl_timesheet[[#This Row],[Total]],0)</f>
        <v>3</v>
      </c>
    </row>
    <row r="347" spans="1:14" x14ac:dyDescent="0.25">
      <c r="A347" s="2">
        <v>43471</v>
      </c>
      <c r="B347" s="8">
        <v>18261116</v>
      </c>
      <c r="C347" s="1" t="s">
        <v>6</v>
      </c>
      <c r="D347" s="1" t="s">
        <v>153</v>
      </c>
      <c r="E347" s="3">
        <v>0</v>
      </c>
      <c r="F347" s="3">
        <v>0</v>
      </c>
      <c r="G347" s="3">
        <v>0</v>
      </c>
      <c r="H347" s="3">
        <v>1</v>
      </c>
      <c r="I347" s="3">
        <v>0</v>
      </c>
      <c r="J347" s="3">
        <v>0</v>
      </c>
      <c r="K347" s="3">
        <v>0</v>
      </c>
      <c r="L347" s="3">
        <v>1</v>
      </c>
      <c r="M347" s="8">
        <f>IF(LEFT(tbl_timesheet[[#This Row],[Activity]],1)="5",tbl_timesheet[[#This Row],[Total]],0)</f>
        <v>0</v>
      </c>
      <c r="N347" s="8">
        <f>IF(LEFT(tbl_timesheet[[#This Row],[Activity]],1)="6",tbl_timesheet[[#This Row],[Total]],0)</f>
        <v>1</v>
      </c>
    </row>
    <row r="348" spans="1:14" x14ac:dyDescent="0.25">
      <c r="A348" s="2">
        <v>43471</v>
      </c>
      <c r="B348" s="8">
        <v>18281020</v>
      </c>
      <c r="C348" s="1" t="s">
        <v>28</v>
      </c>
      <c r="D348" s="1" t="s">
        <v>153</v>
      </c>
      <c r="E348" s="3">
        <v>0</v>
      </c>
      <c r="F348" s="3">
        <v>0</v>
      </c>
      <c r="G348" s="3">
        <v>1</v>
      </c>
      <c r="H348" s="3">
        <v>0</v>
      </c>
      <c r="I348" s="3">
        <v>0</v>
      </c>
      <c r="J348" s="3">
        <v>0</v>
      </c>
      <c r="K348" s="3">
        <v>0</v>
      </c>
      <c r="L348" s="3">
        <v>1</v>
      </c>
      <c r="M348" s="8">
        <f>IF(LEFT(tbl_timesheet[[#This Row],[Activity]],1)="5",tbl_timesheet[[#This Row],[Total]],0)</f>
        <v>0</v>
      </c>
      <c r="N348" s="8">
        <f>IF(LEFT(tbl_timesheet[[#This Row],[Activity]],1)="6",tbl_timesheet[[#This Row],[Total]],0)</f>
        <v>1</v>
      </c>
    </row>
    <row r="349" spans="1:14" x14ac:dyDescent="0.25">
      <c r="A349" s="2">
        <v>43471</v>
      </c>
      <c r="B349" s="8">
        <v>18281020</v>
      </c>
      <c r="C349" s="1" t="s">
        <v>173</v>
      </c>
      <c r="D349" s="1" t="s">
        <v>153</v>
      </c>
      <c r="E349" s="3">
        <v>0</v>
      </c>
      <c r="F349" s="3">
        <v>0</v>
      </c>
      <c r="G349" s="3">
        <v>0</v>
      </c>
      <c r="H349" s="3">
        <v>2</v>
      </c>
      <c r="I349" s="3">
        <v>7</v>
      </c>
      <c r="J349" s="3">
        <v>0</v>
      </c>
      <c r="K349" s="3">
        <v>0</v>
      </c>
      <c r="L349" s="3">
        <v>9</v>
      </c>
      <c r="M349" s="8">
        <f>IF(LEFT(tbl_timesheet[[#This Row],[Activity]],1)="5",tbl_timesheet[[#This Row],[Total]],0)</f>
        <v>0</v>
      </c>
      <c r="N349" s="8">
        <f>IF(LEFT(tbl_timesheet[[#This Row],[Activity]],1)="6",tbl_timesheet[[#This Row],[Total]],0)</f>
        <v>9</v>
      </c>
    </row>
    <row r="350" spans="1:14" x14ac:dyDescent="0.25">
      <c r="A350" s="2">
        <v>43478</v>
      </c>
      <c r="B350" s="8">
        <v>18234023</v>
      </c>
      <c r="C350" s="1" t="s">
        <v>85</v>
      </c>
      <c r="D350" s="1" t="s">
        <v>153</v>
      </c>
      <c r="E350" s="3">
        <v>2</v>
      </c>
      <c r="F350" s="3">
        <v>0</v>
      </c>
      <c r="G350" s="3">
        <v>0</v>
      </c>
      <c r="H350" s="3">
        <v>0</v>
      </c>
      <c r="I350" s="3">
        <v>0</v>
      </c>
      <c r="J350" s="3">
        <v>0</v>
      </c>
      <c r="K350" s="3">
        <v>0</v>
      </c>
      <c r="L350" s="3">
        <v>2</v>
      </c>
      <c r="M350" s="8">
        <f>IF(LEFT(tbl_timesheet[[#This Row],[Activity]],1)="5",tbl_timesheet[[#This Row],[Total]],0)</f>
        <v>2</v>
      </c>
      <c r="N350" s="8">
        <f>IF(LEFT(tbl_timesheet[[#This Row],[Activity]],1)="6",tbl_timesheet[[#This Row],[Total]],0)</f>
        <v>0</v>
      </c>
    </row>
    <row r="351" spans="1:14" x14ac:dyDescent="0.25">
      <c r="A351" s="2">
        <v>43478</v>
      </c>
      <c r="B351" s="8">
        <v>18234023</v>
      </c>
      <c r="C351" s="1" t="s">
        <v>24</v>
      </c>
      <c r="D351" s="1" t="s">
        <v>153</v>
      </c>
      <c r="E351" s="3">
        <v>2</v>
      </c>
      <c r="F351" s="3">
        <v>0</v>
      </c>
      <c r="G351" s="3">
        <v>0</v>
      </c>
      <c r="H351" s="3">
        <v>0</v>
      </c>
      <c r="I351" s="3">
        <v>0</v>
      </c>
      <c r="J351" s="3">
        <v>0</v>
      </c>
      <c r="K351" s="3">
        <v>0</v>
      </c>
      <c r="L351" s="3">
        <v>2</v>
      </c>
      <c r="M351" s="8">
        <f>IF(LEFT(tbl_timesheet[[#This Row],[Activity]],1)="5",tbl_timesheet[[#This Row],[Total]],0)</f>
        <v>0</v>
      </c>
      <c r="N351" s="8">
        <f>IF(LEFT(tbl_timesheet[[#This Row],[Activity]],1)="6",tbl_timesheet[[#This Row],[Total]],0)</f>
        <v>2</v>
      </c>
    </row>
    <row r="352" spans="1:14" x14ac:dyDescent="0.25">
      <c r="A352" s="2">
        <v>43478</v>
      </c>
      <c r="B352" s="8">
        <v>18234023</v>
      </c>
      <c r="C352" s="1" t="s">
        <v>5</v>
      </c>
      <c r="D352" s="1" t="s">
        <v>153</v>
      </c>
      <c r="E352" s="3">
        <v>5</v>
      </c>
      <c r="F352" s="3">
        <v>0</v>
      </c>
      <c r="G352" s="3">
        <v>0</v>
      </c>
      <c r="H352" s="3">
        <v>0</v>
      </c>
      <c r="I352" s="3">
        <v>0</v>
      </c>
      <c r="J352" s="3">
        <v>0</v>
      </c>
      <c r="K352" s="3">
        <v>0</v>
      </c>
      <c r="L352" s="3">
        <v>5</v>
      </c>
      <c r="M352" s="8">
        <f>IF(LEFT(tbl_timesheet[[#This Row],[Activity]],1)="5",tbl_timesheet[[#This Row],[Total]],0)</f>
        <v>0</v>
      </c>
      <c r="N352" s="8">
        <f>IF(LEFT(tbl_timesheet[[#This Row],[Activity]],1)="6",tbl_timesheet[[#This Row],[Total]],0)</f>
        <v>5</v>
      </c>
    </row>
    <row r="353" spans="1:14" x14ac:dyDescent="0.25">
      <c r="A353" s="2">
        <v>43478</v>
      </c>
      <c r="B353" s="8">
        <v>18234026</v>
      </c>
      <c r="C353" s="1" t="s">
        <v>35</v>
      </c>
      <c r="D353" s="1" t="s">
        <v>153</v>
      </c>
      <c r="E353" s="3">
        <v>0</v>
      </c>
      <c r="F353" s="3">
        <v>9</v>
      </c>
      <c r="G353" s="3">
        <v>0</v>
      </c>
      <c r="H353" s="3">
        <v>0</v>
      </c>
      <c r="I353" s="3">
        <v>0</v>
      </c>
      <c r="J353" s="3">
        <v>0</v>
      </c>
      <c r="K353" s="3">
        <v>0</v>
      </c>
      <c r="L353" s="3">
        <v>9</v>
      </c>
      <c r="M353" s="8">
        <f>IF(LEFT(tbl_timesheet[[#This Row],[Activity]],1)="5",tbl_timesheet[[#This Row],[Total]],0)</f>
        <v>9</v>
      </c>
      <c r="N353" s="8">
        <f>IF(LEFT(tbl_timesheet[[#This Row],[Activity]],1)="6",tbl_timesheet[[#This Row],[Total]],0)</f>
        <v>0</v>
      </c>
    </row>
    <row r="354" spans="1:14" x14ac:dyDescent="0.25">
      <c r="A354" s="2">
        <v>43478</v>
      </c>
      <c r="B354" s="8">
        <v>18234027</v>
      </c>
      <c r="C354" s="1" t="s">
        <v>35</v>
      </c>
      <c r="D354" s="1" t="s">
        <v>153</v>
      </c>
      <c r="E354" s="3">
        <v>0</v>
      </c>
      <c r="F354" s="3">
        <v>0</v>
      </c>
      <c r="G354" s="3">
        <v>9</v>
      </c>
      <c r="H354" s="3">
        <v>0</v>
      </c>
      <c r="I354" s="3">
        <v>0</v>
      </c>
      <c r="J354" s="3">
        <v>0</v>
      </c>
      <c r="K354" s="3">
        <v>0</v>
      </c>
      <c r="L354" s="3">
        <v>9</v>
      </c>
      <c r="M354" s="8">
        <f>IF(LEFT(tbl_timesheet[[#This Row],[Activity]],1)="5",tbl_timesheet[[#This Row],[Total]],0)</f>
        <v>9</v>
      </c>
      <c r="N354" s="8">
        <f>IF(LEFT(tbl_timesheet[[#This Row],[Activity]],1)="6",tbl_timesheet[[#This Row],[Total]],0)</f>
        <v>0</v>
      </c>
    </row>
    <row r="355" spans="1:14" x14ac:dyDescent="0.25">
      <c r="A355" s="2">
        <v>43478</v>
      </c>
      <c r="B355" s="8">
        <v>18234032</v>
      </c>
      <c r="C355" s="1" t="s">
        <v>5</v>
      </c>
      <c r="D355" s="1" t="s">
        <v>153</v>
      </c>
      <c r="E355" s="3">
        <v>0</v>
      </c>
      <c r="F355" s="3">
        <v>0</v>
      </c>
      <c r="G355" s="3">
        <v>0</v>
      </c>
      <c r="H355" s="3">
        <v>4</v>
      </c>
      <c r="I355" s="3">
        <v>0</v>
      </c>
      <c r="J355" s="3">
        <v>0</v>
      </c>
      <c r="K355" s="3">
        <v>0</v>
      </c>
      <c r="L355" s="3">
        <v>4</v>
      </c>
      <c r="M355" s="8">
        <f>IF(LEFT(tbl_timesheet[[#This Row],[Activity]],1)="5",tbl_timesheet[[#This Row],[Total]],0)</f>
        <v>0</v>
      </c>
      <c r="N355" s="8">
        <f>IF(LEFT(tbl_timesheet[[#This Row],[Activity]],1)="6",tbl_timesheet[[#This Row],[Total]],0)</f>
        <v>4</v>
      </c>
    </row>
    <row r="356" spans="1:14" x14ac:dyDescent="0.25">
      <c r="A356" s="2">
        <v>43478</v>
      </c>
      <c r="B356" s="8">
        <v>18234032</v>
      </c>
      <c r="C356" s="1" t="s">
        <v>6</v>
      </c>
      <c r="D356" s="1" t="s">
        <v>153</v>
      </c>
      <c r="E356" s="3">
        <v>0</v>
      </c>
      <c r="F356" s="3">
        <v>0</v>
      </c>
      <c r="G356" s="3">
        <v>0</v>
      </c>
      <c r="H356" s="3">
        <v>0</v>
      </c>
      <c r="I356" s="3">
        <v>4</v>
      </c>
      <c r="J356" s="3">
        <v>0</v>
      </c>
      <c r="K356" s="3">
        <v>0</v>
      </c>
      <c r="L356" s="3">
        <v>4</v>
      </c>
      <c r="M356" s="8">
        <f>IF(LEFT(tbl_timesheet[[#This Row],[Activity]],1)="5",tbl_timesheet[[#This Row],[Total]],0)</f>
        <v>0</v>
      </c>
      <c r="N356" s="8">
        <f>IF(LEFT(tbl_timesheet[[#This Row],[Activity]],1)="6",tbl_timesheet[[#This Row],[Total]],0)</f>
        <v>4</v>
      </c>
    </row>
    <row r="357" spans="1:14" x14ac:dyDescent="0.25">
      <c r="A357" s="2">
        <v>43478</v>
      </c>
      <c r="B357" s="8">
        <v>18281049</v>
      </c>
      <c r="C357" s="1" t="s">
        <v>16</v>
      </c>
      <c r="D357" s="1" t="s">
        <v>153</v>
      </c>
      <c r="E357" s="3">
        <v>0</v>
      </c>
      <c r="F357" s="3">
        <v>0</v>
      </c>
      <c r="G357" s="3">
        <v>0</v>
      </c>
      <c r="H357" s="3">
        <v>5</v>
      </c>
      <c r="I357" s="3">
        <v>0</v>
      </c>
      <c r="J357" s="3">
        <v>0</v>
      </c>
      <c r="K357" s="3">
        <v>0</v>
      </c>
      <c r="L357" s="3">
        <v>5</v>
      </c>
      <c r="M357" s="8">
        <f>IF(LEFT(tbl_timesheet[[#This Row],[Activity]],1)="5",tbl_timesheet[[#This Row],[Total]],0)</f>
        <v>0</v>
      </c>
      <c r="N357" s="8">
        <f>IF(LEFT(tbl_timesheet[[#This Row],[Activity]],1)="6",tbl_timesheet[[#This Row],[Total]],0)</f>
        <v>5</v>
      </c>
    </row>
    <row r="358" spans="1:14" x14ac:dyDescent="0.25">
      <c r="A358" s="2">
        <v>43492</v>
      </c>
      <c r="B358" s="8">
        <v>18138001</v>
      </c>
      <c r="C358" s="1" t="s">
        <v>34</v>
      </c>
      <c r="D358" s="1" t="s">
        <v>153</v>
      </c>
      <c r="E358" s="3">
        <v>1</v>
      </c>
      <c r="F358" s="3">
        <v>0</v>
      </c>
      <c r="G358" s="3">
        <v>0</v>
      </c>
      <c r="H358" s="3">
        <v>0</v>
      </c>
      <c r="I358" s="3">
        <v>0</v>
      </c>
      <c r="J358" s="3">
        <v>0</v>
      </c>
      <c r="K358" s="3">
        <v>0</v>
      </c>
      <c r="L358" s="3">
        <v>1</v>
      </c>
      <c r="M358" s="8">
        <f>IF(LEFT(tbl_timesheet[[#This Row],[Activity]],1)="5",tbl_timesheet[[#This Row],[Total]],0)</f>
        <v>0</v>
      </c>
      <c r="N358" s="8">
        <f>IF(LEFT(tbl_timesheet[[#This Row],[Activity]],1)="6",tbl_timesheet[[#This Row],[Total]],0)</f>
        <v>1</v>
      </c>
    </row>
    <row r="359" spans="1:14" x14ac:dyDescent="0.25">
      <c r="A359" s="2">
        <v>43492</v>
      </c>
      <c r="B359" s="8">
        <v>18200006</v>
      </c>
      <c r="C359" s="1" t="s">
        <v>176</v>
      </c>
      <c r="D359" s="1" t="s">
        <v>153</v>
      </c>
      <c r="E359" s="3">
        <v>1</v>
      </c>
      <c r="F359" s="3">
        <v>0</v>
      </c>
      <c r="G359" s="3">
        <v>0</v>
      </c>
      <c r="H359" s="3">
        <v>4</v>
      </c>
      <c r="I359" s="3">
        <v>0</v>
      </c>
      <c r="J359" s="3">
        <v>0</v>
      </c>
      <c r="K359" s="3">
        <v>0</v>
      </c>
      <c r="L359" s="3">
        <v>5</v>
      </c>
      <c r="M359" s="8">
        <f>IF(LEFT(tbl_timesheet[[#This Row],[Activity]],1)="5",tbl_timesheet[[#This Row],[Total]],0)</f>
        <v>0</v>
      </c>
      <c r="N359" s="8">
        <f>IF(LEFT(tbl_timesheet[[#This Row],[Activity]],1)="6",tbl_timesheet[[#This Row],[Total]],0)</f>
        <v>0</v>
      </c>
    </row>
    <row r="360" spans="1:14" x14ac:dyDescent="0.25">
      <c r="A360" s="2">
        <v>43492</v>
      </c>
      <c r="B360" s="8">
        <v>18234023</v>
      </c>
      <c r="C360" s="1" t="s">
        <v>35</v>
      </c>
      <c r="D360" s="1" t="s">
        <v>153</v>
      </c>
      <c r="E360" s="3">
        <v>0</v>
      </c>
      <c r="F360" s="3">
        <v>0</v>
      </c>
      <c r="G360" s="3">
        <v>1</v>
      </c>
      <c r="H360" s="3">
        <v>0</v>
      </c>
      <c r="I360" s="3">
        <v>0</v>
      </c>
      <c r="J360" s="3">
        <v>0</v>
      </c>
      <c r="K360" s="3">
        <v>0</v>
      </c>
      <c r="L360" s="3">
        <v>1</v>
      </c>
      <c r="M360" s="8">
        <f>IF(LEFT(tbl_timesheet[[#This Row],[Activity]],1)="5",tbl_timesheet[[#This Row],[Total]],0)</f>
        <v>1</v>
      </c>
      <c r="N360" s="8">
        <f>IF(LEFT(tbl_timesheet[[#This Row],[Activity]],1)="6",tbl_timesheet[[#This Row],[Total]],0)</f>
        <v>0</v>
      </c>
    </row>
    <row r="361" spans="1:14" x14ac:dyDescent="0.25">
      <c r="A361" s="2">
        <v>43492</v>
      </c>
      <c r="B361" s="8">
        <v>18234026</v>
      </c>
      <c r="C361" s="1" t="s">
        <v>86</v>
      </c>
      <c r="D361" s="1" t="s">
        <v>153</v>
      </c>
      <c r="E361" s="3">
        <v>0</v>
      </c>
      <c r="F361" s="3">
        <v>3</v>
      </c>
      <c r="G361" s="3">
        <v>0</v>
      </c>
      <c r="H361" s="3">
        <v>0</v>
      </c>
      <c r="I361" s="3">
        <v>0</v>
      </c>
      <c r="J361" s="3">
        <v>0</v>
      </c>
      <c r="K361" s="3">
        <v>0</v>
      </c>
      <c r="L361" s="3">
        <v>3</v>
      </c>
      <c r="M361" s="8">
        <f>IF(LEFT(tbl_timesheet[[#This Row],[Activity]],1)="5",tbl_timesheet[[#This Row],[Total]],0)</f>
        <v>3</v>
      </c>
      <c r="N361" s="8">
        <f>IF(LEFT(tbl_timesheet[[#This Row],[Activity]],1)="6",tbl_timesheet[[#This Row],[Total]],0)</f>
        <v>0</v>
      </c>
    </row>
    <row r="362" spans="1:14" x14ac:dyDescent="0.25">
      <c r="A362" s="2">
        <v>43492</v>
      </c>
      <c r="B362" s="8">
        <v>18234026</v>
      </c>
      <c r="C362" s="1" t="s">
        <v>16</v>
      </c>
      <c r="D362" s="1" t="s">
        <v>153</v>
      </c>
      <c r="E362" s="3">
        <v>0</v>
      </c>
      <c r="F362" s="3">
        <v>3</v>
      </c>
      <c r="G362" s="3">
        <v>0</v>
      </c>
      <c r="H362" s="3">
        <v>0</v>
      </c>
      <c r="I362" s="3">
        <v>0</v>
      </c>
      <c r="J362" s="3">
        <v>0</v>
      </c>
      <c r="K362" s="3">
        <v>0</v>
      </c>
      <c r="L362" s="3">
        <v>3</v>
      </c>
      <c r="M362" s="8">
        <f>IF(LEFT(tbl_timesheet[[#This Row],[Activity]],1)="5",tbl_timesheet[[#This Row],[Total]],0)</f>
        <v>0</v>
      </c>
      <c r="N362" s="8">
        <f>IF(LEFT(tbl_timesheet[[#This Row],[Activity]],1)="6",tbl_timesheet[[#This Row],[Total]],0)</f>
        <v>3</v>
      </c>
    </row>
    <row r="363" spans="1:14" x14ac:dyDescent="0.25">
      <c r="A363" s="2">
        <v>43492</v>
      </c>
      <c r="B363" s="8">
        <v>18234027</v>
      </c>
      <c r="C363" s="1" t="s">
        <v>86</v>
      </c>
      <c r="D363" s="1" t="s">
        <v>153</v>
      </c>
      <c r="E363" s="3">
        <v>0</v>
      </c>
      <c r="F363" s="3">
        <v>0</v>
      </c>
      <c r="G363" s="3">
        <v>4</v>
      </c>
      <c r="H363" s="3">
        <v>0</v>
      </c>
      <c r="I363" s="3">
        <v>0</v>
      </c>
      <c r="J363" s="3">
        <v>0</v>
      </c>
      <c r="K363" s="3">
        <v>0</v>
      </c>
      <c r="L363" s="3">
        <v>4</v>
      </c>
      <c r="M363" s="8">
        <f>IF(LEFT(tbl_timesheet[[#This Row],[Activity]],1)="5",tbl_timesheet[[#This Row],[Total]],0)</f>
        <v>4</v>
      </c>
      <c r="N363" s="8">
        <f>IF(LEFT(tbl_timesheet[[#This Row],[Activity]],1)="6",tbl_timesheet[[#This Row],[Total]],0)</f>
        <v>0</v>
      </c>
    </row>
    <row r="364" spans="1:14" x14ac:dyDescent="0.25">
      <c r="A364" s="2">
        <v>43492</v>
      </c>
      <c r="B364" s="8">
        <v>18234027</v>
      </c>
      <c r="C364" s="1" t="s">
        <v>16</v>
      </c>
      <c r="D364" s="1" t="s">
        <v>153</v>
      </c>
      <c r="E364" s="3">
        <v>0</v>
      </c>
      <c r="F364" s="3">
        <v>0</v>
      </c>
      <c r="G364" s="3">
        <v>4</v>
      </c>
      <c r="H364" s="3">
        <v>0</v>
      </c>
      <c r="I364" s="3">
        <v>0</v>
      </c>
      <c r="J364" s="3">
        <v>0</v>
      </c>
      <c r="K364" s="3">
        <v>0</v>
      </c>
      <c r="L364" s="3">
        <v>4</v>
      </c>
      <c r="M364" s="8">
        <f>IF(LEFT(tbl_timesheet[[#This Row],[Activity]],1)="5",tbl_timesheet[[#This Row],[Total]],0)</f>
        <v>0</v>
      </c>
      <c r="N364" s="8">
        <f>IF(LEFT(tbl_timesheet[[#This Row],[Activity]],1)="6",tbl_timesheet[[#This Row],[Total]],0)</f>
        <v>4</v>
      </c>
    </row>
    <row r="365" spans="1:14" x14ac:dyDescent="0.25">
      <c r="A365" s="2">
        <v>43492</v>
      </c>
      <c r="B365" s="8">
        <v>18234032</v>
      </c>
      <c r="C365" s="1" t="s">
        <v>16</v>
      </c>
      <c r="D365" s="1" t="s">
        <v>153</v>
      </c>
      <c r="E365" s="3">
        <v>0</v>
      </c>
      <c r="F365" s="3">
        <v>4</v>
      </c>
      <c r="G365" s="3">
        <v>0</v>
      </c>
      <c r="H365" s="3">
        <v>0</v>
      </c>
      <c r="I365" s="3">
        <v>0</v>
      </c>
      <c r="J365" s="3">
        <v>0</v>
      </c>
      <c r="K365" s="3">
        <v>0</v>
      </c>
      <c r="L365" s="3">
        <v>4</v>
      </c>
      <c r="M365" s="8">
        <f>IF(LEFT(tbl_timesheet[[#This Row],[Activity]],1)="5",tbl_timesheet[[#This Row],[Total]],0)</f>
        <v>0</v>
      </c>
      <c r="N365" s="8">
        <f>IF(LEFT(tbl_timesheet[[#This Row],[Activity]],1)="6",tbl_timesheet[[#This Row],[Total]],0)</f>
        <v>4</v>
      </c>
    </row>
    <row r="366" spans="1:14" x14ac:dyDescent="0.25">
      <c r="A366" s="2">
        <v>43492</v>
      </c>
      <c r="B366" s="8">
        <v>18234032</v>
      </c>
      <c r="C366" s="1" t="s">
        <v>5</v>
      </c>
      <c r="D366" s="1" t="s">
        <v>153</v>
      </c>
      <c r="E366" s="3">
        <v>5</v>
      </c>
      <c r="F366" s="3">
        <v>0</v>
      </c>
      <c r="G366" s="3">
        <v>0</v>
      </c>
      <c r="H366" s="3">
        <v>0</v>
      </c>
      <c r="I366" s="3">
        <v>0</v>
      </c>
      <c r="J366" s="3">
        <v>0</v>
      </c>
      <c r="K366" s="3">
        <v>0</v>
      </c>
      <c r="L366" s="3">
        <v>5</v>
      </c>
      <c r="M366" s="8">
        <f>IF(LEFT(tbl_timesheet[[#This Row],[Activity]],1)="5",tbl_timesheet[[#This Row],[Total]],0)</f>
        <v>0</v>
      </c>
      <c r="N366" s="8">
        <f>IF(LEFT(tbl_timesheet[[#This Row],[Activity]],1)="6",tbl_timesheet[[#This Row],[Total]],0)</f>
        <v>5</v>
      </c>
    </row>
    <row r="367" spans="1:14" x14ac:dyDescent="0.25">
      <c r="A367" s="2">
        <v>43492</v>
      </c>
      <c r="B367" s="8">
        <v>18261014</v>
      </c>
      <c r="C367" s="1" t="s">
        <v>34</v>
      </c>
      <c r="D367" s="1" t="s">
        <v>153</v>
      </c>
      <c r="E367" s="3">
        <v>1</v>
      </c>
      <c r="F367" s="3">
        <v>0</v>
      </c>
      <c r="G367" s="3">
        <v>0</v>
      </c>
      <c r="H367" s="3">
        <v>0</v>
      </c>
      <c r="I367" s="3">
        <v>0</v>
      </c>
      <c r="J367" s="3">
        <v>0</v>
      </c>
      <c r="K367" s="3">
        <v>0</v>
      </c>
      <c r="L367" s="3">
        <v>1</v>
      </c>
      <c r="M367" s="8">
        <f>IF(LEFT(tbl_timesheet[[#This Row],[Activity]],1)="5",tbl_timesheet[[#This Row],[Total]],0)</f>
        <v>0</v>
      </c>
      <c r="N367" s="8">
        <f>IF(LEFT(tbl_timesheet[[#This Row],[Activity]],1)="6",tbl_timesheet[[#This Row],[Total]],0)</f>
        <v>1</v>
      </c>
    </row>
    <row r="368" spans="1:14" x14ac:dyDescent="0.25">
      <c r="A368" s="2">
        <v>43492</v>
      </c>
      <c r="B368" s="8">
        <v>18261112</v>
      </c>
      <c r="C368" s="1" t="s">
        <v>6</v>
      </c>
      <c r="D368" s="1" t="s">
        <v>153</v>
      </c>
      <c r="E368" s="3">
        <v>1</v>
      </c>
      <c r="F368" s="3">
        <v>0</v>
      </c>
      <c r="G368" s="3">
        <v>0</v>
      </c>
      <c r="H368" s="3">
        <v>0</v>
      </c>
      <c r="I368" s="3">
        <v>0</v>
      </c>
      <c r="J368" s="3">
        <v>0</v>
      </c>
      <c r="K368" s="3">
        <v>0</v>
      </c>
      <c r="L368" s="3">
        <v>1</v>
      </c>
      <c r="M368" s="8">
        <f>IF(LEFT(tbl_timesheet[[#This Row],[Activity]],1)="5",tbl_timesheet[[#This Row],[Total]],0)</f>
        <v>0</v>
      </c>
      <c r="N368" s="8">
        <f>IF(LEFT(tbl_timesheet[[#This Row],[Activity]],1)="6",tbl_timesheet[[#This Row],[Total]],0)</f>
        <v>1</v>
      </c>
    </row>
    <row r="369" spans="1:14" x14ac:dyDescent="0.25">
      <c r="A369" s="2">
        <v>43492</v>
      </c>
      <c r="B369" s="8">
        <v>18261112</v>
      </c>
      <c r="C369" s="1" t="s">
        <v>5</v>
      </c>
      <c r="D369" s="1" t="s">
        <v>153</v>
      </c>
      <c r="E369" s="3">
        <v>2</v>
      </c>
      <c r="F369" s="3">
        <v>0</v>
      </c>
      <c r="G369" s="3">
        <v>0</v>
      </c>
      <c r="H369" s="3">
        <v>0</v>
      </c>
      <c r="I369" s="3">
        <v>0</v>
      </c>
      <c r="J369" s="3">
        <v>0</v>
      </c>
      <c r="K369" s="3">
        <v>0</v>
      </c>
      <c r="L369" s="3">
        <v>2</v>
      </c>
      <c r="M369" s="8">
        <f>IF(LEFT(tbl_timesheet[[#This Row],[Activity]],1)="5",tbl_timesheet[[#This Row],[Total]],0)</f>
        <v>0</v>
      </c>
      <c r="N369" s="8">
        <f>IF(LEFT(tbl_timesheet[[#This Row],[Activity]],1)="6",tbl_timesheet[[#This Row],[Total]],0)</f>
        <v>2</v>
      </c>
    </row>
    <row r="370" spans="1:14" x14ac:dyDescent="0.25">
      <c r="A370" s="2">
        <v>43492</v>
      </c>
      <c r="B370" s="8">
        <v>18261116</v>
      </c>
      <c r="C370" s="1" t="s">
        <v>5</v>
      </c>
      <c r="D370" s="1" t="s">
        <v>153</v>
      </c>
      <c r="E370" s="3">
        <v>0</v>
      </c>
      <c r="F370" s="3">
        <v>0</v>
      </c>
      <c r="G370" s="3">
        <v>4</v>
      </c>
      <c r="H370" s="3">
        <v>2</v>
      </c>
      <c r="I370" s="3">
        <v>0</v>
      </c>
      <c r="J370" s="3">
        <v>0</v>
      </c>
      <c r="K370" s="3">
        <v>0</v>
      </c>
      <c r="L370" s="3">
        <v>6</v>
      </c>
      <c r="M370" s="8">
        <f>IF(LEFT(tbl_timesheet[[#This Row],[Activity]],1)="5",tbl_timesheet[[#This Row],[Total]],0)</f>
        <v>0</v>
      </c>
      <c r="N370" s="8">
        <f>IF(LEFT(tbl_timesheet[[#This Row],[Activity]],1)="6",tbl_timesheet[[#This Row],[Total]],0)</f>
        <v>6</v>
      </c>
    </row>
    <row r="371" spans="1:14" x14ac:dyDescent="0.25">
      <c r="A371" s="24">
        <v>43499</v>
      </c>
      <c r="B371" s="25">
        <v>18138001</v>
      </c>
      <c r="C371" s="26" t="s">
        <v>16</v>
      </c>
      <c r="D371" s="26" t="s">
        <v>153</v>
      </c>
      <c r="E371" s="27">
        <v>0</v>
      </c>
      <c r="F371" s="27">
        <v>0</v>
      </c>
      <c r="G371" s="27">
        <v>9</v>
      </c>
      <c r="H371" s="27">
        <v>0</v>
      </c>
      <c r="I371" s="27">
        <v>0</v>
      </c>
      <c r="J371" s="27">
        <v>0</v>
      </c>
      <c r="K371" s="27">
        <v>0</v>
      </c>
      <c r="L371" s="27">
        <v>9</v>
      </c>
      <c r="M371" s="25">
        <f>IF(LEFT(tbl_timesheet[[#This Row],[Activity]],1)="5",tbl_timesheet[[#This Row],[Total]],0)</f>
        <v>0</v>
      </c>
      <c r="N371" s="25">
        <f>IF(LEFT(tbl_timesheet[[#This Row],[Activity]],1)="6",tbl_timesheet[[#This Row],[Total]],0)</f>
        <v>9</v>
      </c>
    </row>
    <row r="372" spans="1:14" x14ac:dyDescent="0.25">
      <c r="A372" s="24">
        <v>43499</v>
      </c>
      <c r="B372" s="25">
        <v>18138001</v>
      </c>
      <c r="C372" s="26" t="s">
        <v>5</v>
      </c>
      <c r="D372" s="26" t="s">
        <v>153</v>
      </c>
      <c r="E372" s="27">
        <v>0</v>
      </c>
      <c r="F372" s="27">
        <v>0</v>
      </c>
      <c r="G372" s="27">
        <v>0</v>
      </c>
      <c r="H372" s="27">
        <v>5</v>
      </c>
      <c r="I372" s="27">
        <v>0</v>
      </c>
      <c r="J372" s="27">
        <v>0</v>
      </c>
      <c r="K372" s="27">
        <v>0</v>
      </c>
      <c r="L372" s="27">
        <v>5</v>
      </c>
      <c r="M372" s="25">
        <f>IF(LEFT(tbl_timesheet[[#This Row],[Activity]],1)="5",tbl_timesheet[[#This Row],[Total]],0)</f>
        <v>0</v>
      </c>
      <c r="N372" s="25">
        <f>IF(LEFT(tbl_timesheet[[#This Row],[Activity]],1)="6",tbl_timesheet[[#This Row],[Total]],0)</f>
        <v>5</v>
      </c>
    </row>
    <row r="373" spans="1:14" x14ac:dyDescent="0.25">
      <c r="A373" s="24">
        <v>43499</v>
      </c>
      <c r="B373" s="25">
        <v>18234009</v>
      </c>
      <c r="C373" s="26" t="s">
        <v>5</v>
      </c>
      <c r="D373" s="26" t="s">
        <v>153</v>
      </c>
      <c r="E373" s="27">
        <v>3</v>
      </c>
      <c r="F373" s="27">
        <v>1</v>
      </c>
      <c r="G373" s="27">
        <v>1</v>
      </c>
      <c r="H373" s="27">
        <v>0</v>
      </c>
      <c r="I373" s="27">
        <v>0</v>
      </c>
      <c r="J373" s="27">
        <v>0</v>
      </c>
      <c r="K373" s="27">
        <v>0</v>
      </c>
      <c r="L373" s="27">
        <v>5</v>
      </c>
      <c r="M373" s="25">
        <f>IF(LEFT(tbl_timesheet[[#This Row],[Activity]],1)="5",tbl_timesheet[[#This Row],[Total]],0)</f>
        <v>0</v>
      </c>
      <c r="N373" s="25">
        <f>IF(LEFT(tbl_timesheet[[#This Row],[Activity]],1)="6",tbl_timesheet[[#This Row],[Total]],0)</f>
        <v>5</v>
      </c>
    </row>
    <row r="374" spans="1:14" x14ac:dyDescent="0.25">
      <c r="A374" s="24">
        <v>43499</v>
      </c>
      <c r="B374" s="25">
        <v>18234009</v>
      </c>
      <c r="C374" s="26" t="s">
        <v>34</v>
      </c>
      <c r="D374" s="26" t="s">
        <v>153</v>
      </c>
      <c r="E374" s="27">
        <v>1</v>
      </c>
      <c r="F374" s="27">
        <v>0</v>
      </c>
      <c r="G374" s="27">
        <v>0</v>
      </c>
      <c r="H374" s="27">
        <v>0</v>
      </c>
      <c r="I374" s="27">
        <v>0</v>
      </c>
      <c r="J374" s="27">
        <v>0</v>
      </c>
      <c r="K374" s="27">
        <v>0</v>
      </c>
      <c r="L374" s="27">
        <v>1</v>
      </c>
      <c r="M374" s="25">
        <f>IF(LEFT(tbl_timesheet[[#This Row],[Activity]],1)="5",tbl_timesheet[[#This Row],[Total]],0)</f>
        <v>0</v>
      </c>
      <c r="N374" s="25">
        <f>IF(LEFT(tbl_timesheet[[#This Row],[Activity]],1)="6",tbl_timesheet[[#This Row],[Total]],0)</f>
        <v>1</v>
      </c>
    </row>
    <row r="375" spans="1:14" x14ac:dyDescent="0.25">
      <c r="A375" s="24">
        <v>43499</v>
      </c>
      <c r="B375" s="25">
        <v>18234012</v>
      </c>
      <c r="C375" s="26" t="s">
        <v>5</v>
      </c>
      <c r="D375" s="26" t="s">
        <v>153</v>
      </c>
      <c r="E375" s="27">
        <v>3</v>
      </c>
      <c r="F375" s="27">
        <v>1</v>
      </c>
      <c r="G375" s="27">
        <v>1</v>
      </c>
      <c r="H375" s="27">
        <v>0</v>
      </c>
      <c r="I375" s="27">
        <v>0</v>
      </c>
      <c r="J375" s="27">
        <v>0</v>
      </c>
      <c r="K375" s="27">
        <v>0</v>
      </c>
      <c r="L375" s="27">
        <v>5</v>
      </c>
      <c r="M375" s="25">
        <f>IF(LEFT(tbl_timesheet[[#This Row],[Activity]],1)="5",tbl_timesheet[[#This Row],[Total]],0)</f>
        <v>0</v>
      </c>
      <c r="N375" s="25">
        <f>IF(LEFT(tbl_timesheet[[#This Row],[Activity]],1)="6",tbl_timesheet[[#This Row],[Total]],0)</f>
        <v>5</v>
      </c>
    </row>
    <row r="376" spans="1:14" x14ac:dyDescent="0.25">
      <c r="A376" s="24">
        <v>43499</v>
      </c>
      <c r="B376" s="25">
        <v>18234032</v>
      </c>
      <c r="C376" s="26" t="s">
        <v>6</v>
      </c>
      <c r="D376" s="26" t="s">
        <v>153</v>
      </c>
      <c r="E376" s="27">
        <v>0</v>
      </c>
      <c r="F376" s="27">
        <v>0</v>
      </c>
      <c r="G376" s="27">
        <v>0</v>
      </c>
      <c r="H376" s="27">
        <v>5</v>
      </c>
      <c r="I376" s="27">
        <v>0</v>
      </c>
      <c r="J376" s="27">
        <v>0</v>
      </c>
      <c r="K376" s="27">
        <v>0</v>
      </c>
      <c r="L376" s="27">
        <v>5</v>
      </c>
      <c r="M376" s="25">
        <f>IF(LEFT(tbl_timesheet[[#This Row],[Activity]],1)="5",tbl_timesheet[[#This Row],[Total]],0)</f>
        <v>0</v>
      </c>
      <c r="N376" s="25">
        <f>IF(LEFT(tbl_timesheet[[#This Row],[Activity]],1)="6",tbl_timesheet[[#This Row],[Total]],0)</f>
        <v>5</v>
      </c>
    </row>
    <row r="377" spans="1:14" x14ac:dyDescent="0.25">
      <c r="A377" s="24">
        <v>43499</v>
      </c>
      <c r="B377" s="25">
        <v>18234032</v>
      </c>
      <c r="C377" s="26" t="s">
        <v>5</v>
      </c>
      <c r="D377" s="26" t="s">
        <v>153</v>
      </c>
      <c r="E377" s="27">
        <v>0</v>
      </c>
      <c r="F377" s="27">
        <v>4</v>
      </c>
      <c r="G377" s="27">
        <v>0</v>
      </c>
      <c r="H377" s="27">
        <v>0</v>
      </c>
      <c r="I377" s="27">
        <v>0</v>
      </c>
      <c r="J377" s="27">
        <v>0</v>
      </c>
      <c r="K377" s="27">
        <v>0</v>
      </c>
      <c r="L377" s="27">
        <v>4</v>
      </c>
      <c r="M377" s="25">
        <f>IF(LEFT(tbl_timesheet[[#This Row],[Activity]],1)="5",tbl_timesheet[[#This Row],[Total]],0)</f>
        <v>0</v>
      </c>
      <c r="N377" s="25">
        <f>IF(LEFT(tbl_timesheet[[#This Row],[Activity]],1)="6",tbl_timesheet[[#This Row],[Total]],0)</f>
        <v>4</v>
      </c>
    </row>
    <row r="378" spans="1:14" x14ac:dyDescent="0.25">
      <c r="A378" s="24">
        <v>43499</v>
      </c>
      <c r="B378" s="25">
        <v>18234032</v>
      </c>
      <c r="C378" s="26" t="s">
        <v>16</v>
      </c>
      <c r="D378" s="26" t="s">
        <v>153</v>
      </c>
      <c r="E378" s="27">
        <v>0</v>
      </c>
      <c r="F378" s="27">
        <v>5</v>
      </c>
      <c r="G378" s="27">
        <v>0</v>
      </c>
      <c r="H378" s="27">
        <v>0</v>
      </c>
      <c r="I378" s="27">
        <v>0</v>
      </c>
      <c r="J378" s="27">
        <v>0</v>
      </c>
      <c r="K378" s="27">
        <v>0</v>
      </c>
      <c r="L378" s="27">
        <v>5</v>
      </c>
      <c r="M378" s="25">
        <f>IF(LEFT(tbl_timesheet[[#This Row],[Activity]],1)="5",tbl_timesheet[[#This Row],[Total]],0)</f>
        <v>0</v>
      </c>
      <c r="N378" s="25">
        <f>IF(LEFT(tbl_timesheet[[#This Row],[Activity]],1)="6",tbl_timesheet[[#This Row],[Total]],0)</f>
        <v>5</v>
      </c>
    </row>
    <row r="379" spans="1:14" x14ac:dyDescent="0.25">
      <c r="A379" s="24">
        <v>43499</v>
      </c>
      <c r="B379" s="25">
        <v>18261116</v>
      </c>
      <c r="C379" s="26" t="s">
        <v>5</v>
      </c>
      <c r="D379" s="26" t="s">
        <v>153</v>
      </c>
      <c r="E379" s="27">
        <v>3</v>
      </c>
      <c r="F379" s="27">
        <v>0</v>
      </c>
      <c r="G379" s="27">
        <v>1</v>
      </c>
      <c r="H379" s="27">
        <v>0</v>
      </c>
      <c r="I379" s="27">
        <v>0</v>
      </c>
      <c r="J379" s="27">
        <v>0</v>
      </c>
      <c r="K379" s="27">
        <v>0</v>
      </c>
      <c r="L379" s="27">
        <v>4</v>
      </c>
      <c r="M379" s="25">
        <f>IF(LEFT(tbl_timesheet[[#This Row],[Activity]],1)="5",tbl_timesheet[[#This Row],[Total]],0)</f>
        <v>0</v>
      </c>
      <c r="N379" s="25">
        <f>IF(LEFT(tbl_timesheet[[#This Row],[Activity]],1)="6",tbl_timesheet[[#This Row],[Total]],0)</f>
        <v>4</v>
      </c>
    </row>
    <row r="380" spans="1:14" x14ac:dyDescent="0.25">
      <c r="A380" s="2">
        <v>43506</v>
      </c>
      <c r="B380" s="8">
        <v>18138001</v>
      </c>
      <c r="C380" s="1" t="s">
        <v>6</v>
      </c>
      <c r="D380" s="1" t="s">
        <v>153</v>
      </c>
      <c r="E380" s="3">
        <v>0</v>
      </c>
      <c r="F380" s="3">
        <v>5</v>
      </c>
      <c r="G380" s="3">
        <v>4</v>
      </c>
      <c r="H380" s="3">
        <v>0</v>
      </c>
      <c r="I380" s="3">
        <v>0</v>
      </c>
      <c r="J380" s="3">
        <v>0</v>
      </c>
      <c r="K380" s="3">
        <v>0</v>
      </c>
      <c r="L380" s="3">
        <v>9</v>
      </c>
      <c r="M380" s="8">
        <f>IF(LEFT(tbl_timesheet[[#This Row],[Activity]],1)="5",tbl_timesheet[[#This Row],[Total]],0)</f>
        <v>0</v>
      </c>
      <c r="N380" s="8">
        <f>IF(LEFT(tbl_timesheet[[#This Row],[Activity]],1)="6",tbl_timesheet[[#This Row],[Total]],0)</f>
        <v>9</v>
      </c>
    </row>
    <row r="381" spans="1:14" x14ac:dyDescent="0.25">
      <c r="A381" s="2">
        <v>43506</v>
      </c>
      <c r="B381" s="8">
        <v>18138001</v>
      </c>
      <c r="C381" s="1" t="s">
        <v>34</v>
      </c>
      <c r="D381" s="1" t="s">
        <v>153</v>
      </c>
      <c r="E381" s="3">
        <v>0</v>
      </c>
      <c r="F381" s="3">
        <v>2</v>
      </c>
      <c r="G381" s="3">
        <v>0</v>
      </c>
      <c r="H381" s="3">
        <v>4</v>
      </c>
      <c r="I381" s="3">
        <v>0</v>
      </c>
      <c r="J381" s="3">
        <v>0</v>
      </c>
      <c r="K381" s="3">
        <v>0</v>
      </c>
      <c r="L381" s="3">
        <v>6</v>
      </c>
      <c r="M381" s="8">
        <f>IF(LEFT(tbl_timesheet[[#This Row],[Activity]],1)="5",tbl_timesheet[[#This Row],[Total]],0)</f>
        <v>0</v>
      </c>
      <c r="N381" s="8">
        <f>IF(LEFT(tbl_timesheet[[#This Row],[Activity]],1)="6",tbl_timesheet[[#This Row],[Total]],0)</f>
        <v>6</v>
      </c>
    </row>
    <row r="382" spans="1:14" x14ac:dyDescent="0.25">
      <c r="A382" s="2">
        <v>43506</v>
      </c>
      <c r="B382" s="8">
        <v>18200006</v>
      </c>
      <c r="C382" s="1" t="s">
        <v>176</v>
      </c>
      <c r="D382" s="1" t="s">
        <v>153</v>
      </c>
      <c r="E382" s="3">
        <v>0</v>
      </c>
      <c r="F382" s="3">
        <v>3</v>
      </c>
      <c r="G382" s="3">
        <v>0</v>
      </c>
      <c r="H382" s="3">
        <v>0</v>
      </c>
      <c r="I382" s="3">
        <v>0</v>
      </c>
      <c r="J382" s="3">
        <v>0</v>
      </c>
      <c r="K382" s="3">
        <v>0</v>
      </c>
      <c r="L382" s="3">
        <v>3</v>
      </c>
      <c r="M382" s="8">
        <f>IF(LEFT(tbl_timesheet[[#This Row],[Activity]],1)="5",tbl_timesheet[[#This Row],[Total]],0)</f>
        <v>0</v>
      </c>
      <c r="N382" s="8">
        <f>IF(LEFT(tbl_timesheet[[#This Row],[Activity]],1)="6",tbl_timesheet[[#This Row],[Total]],0)</f>
        <v>0</v>
      </c>
    </row>
    <row r="383" spans="1:14" x14ac:dyDescent="0.25">
      <c r="A383" s="2">
        <v>43506</v>
      </c>
      <c r="B383" s="8">
        <v>18234026</v>
      </c>
      <c r="C383" s="1" t="s">
        <v>24</v>
      </c>
      <c r="D383" s="1" t="s">
        <v>153</v>
      </c>
      <c r="E383" s="3">
        <v>0</v>
      </c>
      <c r="F383" s="3">
        <v>1</v>
      </c>
      <c r="G383" s="3">
        <v>0</v>
      </c>
      <c r="H383" s="3">
        <v>0</v>
      </c>
      <c r="I383" s="3">
        <v>0</v>
      </c>
      <c r="J383" s="3">
        <v>0</v>
      </c>
      <c r="K383" s="3">
        <v>0</v>
      </c>
      <c r="L383" s="3">
        <v>1</v>
      </c>
      <c r="M383" s="8">
        <f>IF(LEFT(tbl_timesheet[[#This Row],[Activity]],1)="5",tbl_timesheet[[#This Row],[Total]],0)</f>
        <v>0</v>
      </c>
      <c r="N383" s="8">
        <f>IF(LEFT(tbl_timesheet[[#This Row],[Activity]],1)="6",tbl_timesheet[[#This Row],[Total]],0)</f>
        <v>1</v>
      </c>
    </row>
    <row r="384" spans="1:14" x14ac:dyDescent="0.25">
      <c r="A384" s="2">
        <v>43506</v>
      </c>
      <c r="B384" s="8">
        <v>18234026</v>
      </c>
      <c r="C384" s="1" t="s">
        <v>88</v>
      </c>
      <c r="D384" s="1" t="s">
        <v>153</v>
      </c>
      <c r="E384" s="3">
        <v>0</v>
      </c>
      <c r="F384" s="3">
        <v>0</v>
      </c>
      <c r="G384" s="3">
        <v>0</v>
      </c>
      <c r="H384" s="3">
        <v>0</v>
      </c>
      <c r="I384" s="3">
        <v>1</v>
      </c>
      <c r="J384" s="3">
        <v>0</v>
      </c>
      <c r="K384" s="3">
        <v>0</v>
      </c>
      <c r="L384" s="3">
        <v>1</v>
      </c>
      <c r="M384" s="8">
        <f>IF(LEFT(tbl_timesheet[[#This Row],[Activity]],1)="5",tbl_timesheet[[#This Row],[Total]],0)</f>
        <v>1</v>
      </c>
      <c r="N384" s="8">
        <f>IF(LEFT(tbl_timesheet[[#This Row],[Activity]],1)="6",tbl_timesheet[[#This Row],[Total]],0)</f>
        <v>0</v>
      </c>
    </row>
    <row r="385" spans="1:14" x14ac:dyDescent="0.25">
      <c r="A385" s="2">
        <v>43506</v>
      </c>
      <c r="B385" s="8">
        <v>18234027</v>
      </c>
      <c r="C385" s="1" t="s">
        <v>88</v>
      </c>
      <c r="D385" s="1" t="s">
        <v>153</v>
      </c>
      <c r="E385" s="3">
        <v>0</v>
      </c>
      <c r="F385" s="3">
        <v>0</v>
      </c>
      <c r="G385" s="3">
        <v>0</v>
      </c>
      <c r="H385" s="3">
        <v>0</v>
      </c>
      <c r="I385" s="3">
        <v>1</v>
      </c>
      <c r="J385" s="3">
        <v>0</v>
      </c>
      <c r="K385" s="3">
        <v>0</v>
      </c>
      <c r="L385" s="3">
        <v>1</v>
      </c>
      <c r="M385" s="8">
        <f>IF(LEFT(tbl_timesheet[[#This Row],[Activity]],1)="5",tbl_timesheet[[#This Row],[Total]],0)</f>
        <v>1</v>
      </c>
      <c r="N385" s="8">
        <f>IF(LEFT(tbl_timesheet[[#This Row],[Activity]],1)="6",tbl_timesheet[[#This Row],[Total]],0)</f>
        <v>0</v>
      </c>
    </row>
    <row r="386" spans="1:14" x14ac:dyDescent="0.25">
      <c r="A386" s="2">
        <v>43506</v>
      </c>
      <c r="B386" s="8">
        <v>18234027</v>
      </c>
      <c r="C386" s="1" t="s">
        <v>24</v>
      </c>
      <c r="D386" s="1" t="s">
        <v>153</v>
      </c>
      <c r="E386" s="3">
        <v>0</v>
      </c>
      <c r="F386" s="3">
        <v>1</v>
      </c>
      <c r="G386" s="3">
        <v>0</v>
      </c>
      <c r="H386" s="3">
        <v>0</v>
      </c>
      <c r="I386" s="3">
        <v>0</v>
      </c>
      <c r="J386" s="3">
        <v>0</v>
      </c>
      <c r="K386" s="3">
        <v>0</v>
      </c>
      <c r="L386" s="3">
        <v>1</v>
      </c>
      <c r="M386" s="8">
        <f>IF(LEFT(tbl_timesheet[[#This Row],[Activity]],1)="5",tbl_timesheet[[#This Row],[Total]],0)</f>
        <v>0</v>
      </c>
      <c r="N386" s="8">
        <f>IF(LEFT(tbl_timesheet[[#This Row],[Activity]],1)="6",tbl_timesheet[[#This Row],[Total]],0)</f>
        <v>1</v>
      </c>
    </row>
    <row r="387" spans="1:14" x14ac:dyDescent="0.25">
      <c r="A387" s="2">
        <v>43506</v>
      </c>
      <c r="B387" s="8">
        <v>18234032</v>
      </c>
      <c r="C387" s="1" t="s">
        <v>30</v>
      </c>
      <c r="D387" s="1" t="s">
        <v>153</v>
      </c>
      <c r="E387" s="3">
        <v>0</v>
      </c>
      <c r="F387" s="3">
        <v>0</v>
      </c>
      <c r="G387" s="3">
        <v>0</v>
      </c>
      <c r="H387" s="3">
        <v>6</v>
      </c>
      <c r="I387" s="3">
        <v>2</v>
      </c>
      <c r="J387" s="3">
        <v>0</v>
      </c>
      <c r="K387" s="3">
        <v>0</v>
      </c>
      <c r="L387" s="3">
        <v>8</v>
      </c>
      <c r="M387" s="8">
        <f>IF(LEFT(tbl_timesheet[[#This Row],[Activity]],1)="5",tbl_timesheet[[#This Row],[Total]],0)</f>
        <v>0</v>
      </c>
      <c r="N387" s="8">
        <f>IF(LEFT(tbl_timesheet[[#This Row],[Activity]],1)="6",tbl_timesheet[[#This Row],[Total]],0)</f>
        <v>8</v>
      </c>
    </row>
    <row r="388" spans="1:14" x14ac:dyDescent="0.25">
      <c r="A388" s="2">
        <v>43506</v>
      </c>
      <c r="B388" s="8">
        <v>18261014</v>
      </c>
      <c r="C388" s="1" t="s">
        <v>24</v>
      </c>
      <c r="D388" s="1" t="s">
        <v>153</v>
      </c>
      <c r="E388" s="3">
        <v>1</v>
      </c>
      <c r="F388" s="3">
        <v>0</v>
      </c>
      <c r="G388" s="3">
        <v>0</v>
      </c>
      <c r="H388" s="3">
        <v>0</v>
      </c>
      <c r="I388" s="3">
        <v>0</v>
      </c>
      <c r="J388" s="3">
        <v>0</v>
      </c>
      <c r="K388" s="3">
        <v>0</v>
      </c>
      <c r="L388" s="3">
        <v>1</v>
      </c>
      <c r="M388" s="8">
        <f>IF(LEFT(tbl_timesheet[[#This Row],[Activity]],1)="5",tbl_timesheet[[#This Row],[Total]],0)</f>
        <v>0</v>
      </c>
      <c r="N388" s="8">
        <f>IF(LEFT(tbl_timesheet[[#This Row],[Activity]],1)="6",tbl_timesheet[[#This Row],[Total]],0)</f>
        <v>1</v>
      </c>
    </row>
    <row r="389" spans="1:14" x14ac:dyDescent="0.25">
      <c r="A389" s="2">
        <v>43506</v>
      </c>
      <c r="B389" s="8">
        <v>18281036</v>
      </c>
      <c r="C389" s="1" t="s">
        <v>16</v>
      </c>
      <c r="D389" s="1" t="s">
        <v>153</v>
      </c>
      <c r="E389" s="3">
        <v>3</v>
      </c>
      <c r="F389" s="3">
        <v>0</v>
      </c>
      <c r="G389" s="3">
        <v>3</v>
      </c>
      <c r="H389" s="3">
        <v>0</v>
      </c>
      <c r="I389" s="3">
        <v>0</v>
      </c>
      <c r="J389" s="3">
        <v>0</v>
      </c>
      <c r="K389" s="3">
        <v>0</v>
      </c>
      <c r="L389" s="3">
        <v>6</v>
      </c>
      <c r="M389" s="8">
        <f>IF(LEFT(tbl_timesheet[[#This Row],[Activity]],1)="5",tbl_timesheet[[#This Row],[Total]],0)</f>
        <v>0</v>
      </c>
      <c r="N389" s="8">
        <f>IF(LEFT(tbl_timesheet[[#This Row],[Activity]],1)="6",tbl_timesheet[[#This Row],[Total]],0)</f>
        <v>6</v>
      </c>
    </row>
    <row r="390" spans="1:14" x14ac:dyDescent="0.25">
      <c r="A390" s="2">
        <v>43506</v>
      </c>
      <c r="B390" s="8">
        <v>18281037</v>
      </c>
      <c r="C390" s="1" t="s">
        <v>16</v>
      </c>
      <c r="D390" s="1" t="s">
        <v>153</v>
      </c>
      <c r="E390" s="3">
        <v>3</v>
      </c>
      <c r="F390" s="3">
        <v>0</v>
      </c>
      <c r="G390" s="3">
        <v>3</v>
      </c>
      <c r="H390" s="3">
        <v>0</v>
      </c>
      <c r="I390" s="3">
        <v>0</v>
      </c>
      <c r="J390" s="3">
        <v>0</v>
      </c>
      <c r="K390" s="3">
        <v>0</v>
      </c>
      <c r="L390" s="3">
        <v>6</v>
      </c>
      <c r="M390" s="8">
        <f>IF(LEFT(tbl_timesheet[[#This Row],[Activity]],1)="5",tbl_timesheet[[#This Row],[Total]],0)</f>
        <v>0</v>
      </c>
      <c r="N390" s="8">
        <f>IF(LEFT(tbl_timesheet[[#This Row],[Activity]],1)="6",tbl_timesheet[[#This Row],[Total]],0)</f>
        <v>6</v>
      </c>
    </row>
    <row r="391" spans="1:14" x14ac:dyDescent="0.25">
      <c r="A391" s="2">
        <v>43506</v>
      </c>
      <c r="B391" s="8">
        <v>18281043</v>
      </c>
      <c r="C391" s="1" t="s">
        <v>16</v>
      </c>
      <c r="D391" s="1" t="s">
        <v>153</v>
      </c>
      <c r="E391" s="3">
        <v>3</v>
      </c>
      <c r="F391" s="3">
        <v>0</v>
      </c>
      <c r="G391" s="3">
        <v>3</v>
      </c>
      <c r="H391" s="3">
        <v>0</v>
      </c>
      <c r="I391" s="3">
        <v>0</v>
      </c>
      <c r="J391" s="3">
        <v>0</v>
      </c>
      <c r="K391" s="3">
        <v>0</v>
      </c>
      <c r="L391" s="3">
        <v>6</v>
      </c>
      <c r="M391" s="8">
        <f>IF(LEFT(tbl_timesheet[[#This Row],[Activity]],1)="5",tbl_timesheet[[#This Row],[Total]],0)</f>
        <v>0</v>
      </c>
      <c r="N391" s="8">
        <f>IF(LEFT(tbl_timesheet[[#This Row],[Activity]],1)="6",tbl_timesheet[[#This Row],[Total]],0)</f>
        <v>6</v>
      </c>
    </row>
    <row r="392" spans="1:14" x14ac:dyDescent="0.25">
      <c r="A392" s="2">
        <v>43513</v>
      </c>
      <c r="B392" s="8">
        <v>18138001</v>
      </c>
      <c r="C392" s="1" t="s">
        <v>6</v>
      </c>
      <c r="D392" s="1" t="s">
        <v>153</v>
      </c>
      <c r="E392" s="3">
        <v>0</v>
      </c>
      <c r="F392" s="3">
        <v>3</v>
      </c>
      <c r="G392" s="3">
        <v>0</v>
      </c>
      <c r="H392" s="3">
        <v>0</v>
      </c>
      <c r="I392" s="3">
        <v>0</v>
      </c>
      <c r="J392" s="3">
        <v>0</v>
      </c>
      <c r="K392" s="3">
        <v>0</v>
      </c>
      <c r="L392" s="3">
        <v>3</v>
      </c>
      <c r="M392" s="8">
        <f>IF(LEFT(tbl_timesheet[[#This Row],[Activity]],1)="5",tbl_timesheet[[#This Row],[Total]],0)</f>
        <v>0</v>
      </c>
      <c r="N392" s="8">
        <f>IF(LEFT(tbl_timesheet[[#This Row],[Activity]],1)="6",tbl_timesheet[[#This Row],[Total]],0)</f>
        <v>3</v>
      </c>
    </row>
    <row r="393" spans="1:14" x14ac:dyDescent="0.25">
      <c r="A393" s="2">
        <v>43513</v>
      </c>
      <c r="B393" s="8">
        <v>18138001</v>
      </c>
      <c r="C393" s="1" t="s">
        <v>33</v>
      </c>
      <c r="D393" s="1" t="s">
        <v>153</v>
      </c>
      <c r="E393" s="3">
        <v>0</v>
      </c>
      <c r="F393" s="3">
        <v>2</v>
      </c>
      <c r="G393" s="3">
        <v>0</v>
      </c>
      <c r="H393" s="3">
        <v>0</v>
      </c>
      <c r="I393" s="3">
        <v>0</v>
      </c>
      <c r="J393" s="3">
        <v>0</v>
      </c>
      <c r="K393" s="3">
        <v>0</v>
      </c>
      <c r="L393" s="3">
        <v>2</v>
      </c>
      <c r="M393" s="8">
        <f>IF(LEFT(tbl_timesheet[[#This Row],[Activity]],1)="5",tbl_timesheet[[#This Row],[Total]],0)</f>
        <v>0</v>
      </c>
      <c r="N393" s="8">
        <f>IF(LEFT(tbl_timesheet[[#This Row],[Activity]],1)="6",tbl_timesheet[[#This Row],[Total]],0)</f>
        <v>2</v>
      </c>
    </row>
    <row r="394" spans="1:14" x14ac:dyDescent="0.25">
      <c r="A394" s="2">
        <v>43513</v>
      </c>
      <c r="B394" s="8">
        <v>18138001</v>
      </c>
      <c r="C394" s="1" t="s">
        <v>5</v>
      </c>
      <c r="D394" s="1" t="s">
        <v>153</v>
      </c>
      <c r="E394" s="3">
        <v>0</v>
      </c>
      <c r="F394" s="3">
        <v>6</v>
      </c>
      <c r="G394" s="3">
        <v>0</v>
      </c>
      <c r="H394" s="3">
        <v>0</v>
      </c>
      <c r="I394" s="3">
        <v>0</v>
      </c>
      <c r="J394" s="3">
        <v>0</v>
      </c>
      <c r="K394" s="3">
        <v>0</v>
      </c>
      <c r="L394" s="3">
        <v>6</v>
      </c>
      <c r="M394" s="8">
        <f>IF(LEFT(tbl_timesheet[[#This Row],[Activity]],1)="5",tbl_timesheet[[#This Row],[Total]],0)</f>
        <v>0</v>
      </c>
      <c r="N394" s="8">
        <f>IF(LEFT(tbl_timesheet[[#This Row],[Activity]],1)="6",tbl_timesheet[[#This Row],[Total]],0)</f>
        <v>6</v>
      </c>
    </row>
    <row r="395" spans="1:14" x14ac:dyDescent="0.25">
      <c r="A395" s="2">
        <v>43513</v>
      </c>
      <c r="B395" s="8">
        <v>18138001</v>
      </c>
      <c r="C395" s="1" t="s">
        <v>24</v>
      </c>
      <c r="D395" s="1" t="s">
        <v>153</v>
      </c>
      <c r="E395" s="3">
        <v>0</v>
      </c>
      <c r="F395" s="3">
        <v>0</v>
      </c>
      <c r="G395" s="3">
        <v>2</v>
      </c>
      <c r="H395" s="3">
        <v>3</v>
      </c>
      <c r="I395" s="3">
        <v>0</v>
      </c>
      <c r="J395" s="3">
        <v>0</v>
      </c>
      <c r="K395" s="3">
        <v>0</v>
      </c>
      <c r="L395" s="3">
        <v>5</v>
      </c>
      <c r="M395" s="8">
        <f>IF(LEFT(tbl_timesheet[[#This Row],[Activity]],1)="5",tbl_timesheet[[#This Row],[Total]],0)</f>
        <v>0</v>
      </c>
      <c r="N395" s="8">
        <f>IF(LEFT(tbl_timesheet[[#This Row],[Activity]],1)="6",tbl_timesheet[[#This Row],[Total]],0)</f>
        <v>5</v>
      </c>
    </row>
    <row r="396" spans="1:14" x14ac:dyDescent="0.25">
      <c r="A396" s="2">
        <v>43513</v>
      </c>
      <c r="B396" s="8">
        <v>18138001</v>
      </c>
      <c r="C396" s="1" t="s">
        <v>18</v>
      </c>
      <c r="D396" s="1" t="s">
        <v>153</v>
      </c>
      <c r="E396" s="3">
        <v>0</v>
      </c>
      <c r="F396" s="3">
        <v>0</v>
      </c>
      <c r="G396" s="3">
        <v>6</v>
      </c>
      <c r="H396" s="3">
        <v>7</v>
      </c>
      <c r="I396" s="3">
        <v>0</v>
      </c>
      <c r="J396" s="3">
        <v>0</v>
      </c>
      <c r="K396" s="3">
        <v>0</v>
      </c>
      <c r="L396" s="3">
        <v>13</v>
      </c>
      <c r="M396" s="8">
        <f>IF(LEFT(tbl_timesheet[[#This Row],[Activity]],1)="5",tbl_timesheet[[#This Row],[Total]],0)</f>
        <v>0</v>
      </c>
      <c r="N396" s="8">
        <f>IF(LEFT(tbl_timesheet[[#This Row],[Activity]],1)="6",tbl_timesheet[[#This Row],[Total]],0)</f>
        <v>13</v>
      </c>
    </row>
    <row r="397" spans="1:14" x14ac:dyDescent="0.25">
      <c r="A397" s="2">
        <v>43513</v>
      </c>
      <c r="B397" s="8">
        <v>18138001</v>
      </c>
      <c r="C397" s="1" t="s">
        <v>34</v>
      </c>
      <c r="D397" s="1" t="s">
        <v>153</v>
      </c>
      <c r="E397" s="3">
        <v>0</v>
      </c>
      <c r="F397" s="3">
        <v>0</v>
      </c>
      <c r="G397" s="3">
        <v>0</v>
      </c>
      <c r="H397" s="3">
        <v>0</v>
      </c>
      <c r="I397" s="3">
        <v>7</v>
      </c>
      <c r="J397" s="3">
        <v>0</v>
      </c>
      <c r="K397" s="3">
        <v>0</v>
      </c>
      <c r="L397" s="3">
        <v>7</v>
      </c>
      <c r="M397" s="8">
        <f>IF(LEFT(tbl_timesheet[[#This Row],[Activity]],1)="5",tbl_timesheet[[#This Row],[Total]],0)</f>
        <v>0</v>
      </c>
      <c r="N397" s="8">
        <f>IF(LEFT(tbl_timesheet[[#This Row],[Activity]],1)="6",tbl_timesheet[[#This Row],[Total]],0)</f>
        <v>7</v>
      </c>
    </row>
    <row r="398" spans="1:14" x14ac:dyDescent="0.25">
      <c r="A398" s="2">
        <v>43513</v>
      </c>
      <c r="B398" s="8">
        <v>18281036</v>
      </c>
      <c r="C398" s="1" t="s">
        <v>34</v>
      </c>
      <c r="D398" s="1" t="s">
        <v>153</v>
      </c>
      <c r="E398" s="3">
        <v>0</v>
      </c>
      <c r="F398" s="3">
        <v>2</v>
      </c>
      <c r="G398" s="3">
        <v>0</v>
      </c>
      <c r="H398" s="3">
        <v>0</v>
      </c>
      <c r="I398" s="3">
        <v>1</v>
      </c>
      <c r="J398" s="3">
        <v>0</v>
      </c>
      <c r="K398" s="3">
        <v>0</v>
      </c>
      <c r="L398" s="3">
        <v>3</v>
      </c>
      <c r="M398" s="8">
        <f>IF(LEFT(tbl_timesheet[[#This Row],[Activity]],1)="5",tbl_timesheet[[#This Row],[Total]],0)</f>
        <v>0</v>
      </c>
      <c r="N398" s="8">
        <f>IF(LEFT(tbl_timesheet[[#This Row],[Activity]],1)="6",tbl_timesheet[[#This Row],[Total]],0)</f>
        <v>3</v>
      </c>
    </row>
    <row r="399" spans="1:14" x14ac:dyDescent="0.25">
      <c r="A399" s="2">
        <v>43513</v>
      </c>
      <c r="B399" s="8">
        <v>18281043</v>
      </c>
      <c r="C399" s="1" t="s">
        <v>34</v>
      </c>
      <c r="D399" s="1" t="s">
        <v>153</v>
      </c>
      <c r="E399" s="3">
        <v>0</v>
      </c>
      <c r="F399" s="3">
        <v>0</v>
      </c>
      <c r="G399" s="3">
        <v>3</v>
      </c>
      <c r="H399" s="3">
        <v>0</v>
      </c>
      <c r="I399" s="3">
        <v>1</v>
      </c>
      <c r="J399" s="3">
        <v>0</v>
      </c>
      <c r="K399" s="3">
        <v>0</v>
      </c>
      <c r="L399" s="3">
        <v>4</v>
      </c>
      <c r="M399" s="8">
        <f>IF(LEFT(tbl_timesheet[[#This Row],[Activity]],1)="5",tbl_timesheet[[#This Row],[Total]],0)</f>
        <v>0</v>
      </c>
      <c r="N399" s="8">
        <f>IF(LEFT(tbl_timesheet[[#This Row],[Activity]],1)="6",tbl_timesheet[[#This Row],[Total]],0)</f>
        <v>4</v>
      </c>
    </row>
    <row r="400" spans="1:14" x14ac:dyDescent="0.25">
      <c r="A400" s="2">
        <v>43520</v>
      </c>
      <c r="B400" s="8">
        <v>19000000</v>
      </c>
      <c r="C400" s="1" t="s">
        <v>89</v>
      </c>
      <c r="D400" s="1" t="s">
        <v>153</v>
      </c>
      <c r="E400" s="3">
        <v>9</v>
      </c>
      <c r="F400" s="3">
        <v>9</v>
      </c>
      <c r="G400" s="3">
        <v>9</v>
      </c>
      <c r="H400" s="3">
        <v>9</v>
      </c>
      <c r="I400" s="3">
        <v>4</v>
      </c>
      <c r="J400" s="3">
        <v>0</v>
      </c>
      <c r="K400" s="3">
        <v>0</v>
      </c>
      <c r="L400" s="3">
        <v>40</v>
      </c>
      <c r="M400" s="8">
        <f>IF(LEFT(tbl_timesheet[[#This Row],[Activity]],1)="5",tbl_timesheet[[#This Row],[Total]],0)</f>
        <v>0</v>
      </c>
      <c r="N400" s="8">
        <f>IF(LEFT(tbl_timesheet[[#This Row],[Activity]],1)="6",tbl_timesheet[[#This Row],[Total]],0)</f>
        <v>40</v>
      </c>
    </row>
    <row r="401" spans="1:14" x14ac:dyDescent="0.25">
      <c r="A401" s="2">
        <v>43527</v>
      </c>
      <c r="B401" s="8">
        <v>18138001</v>
      </c>
      <c r="C401" s="1" t="s">
        <v>24</v>
      </c>
      <c r="D401" s="1" t="s">
        <v>153</v>
      </c>
      <c r="E401" s="3">
        <v>0</v>
      </c>
      <c r="F401" s="3">
        <v>0</v>
      </c>
      <c r="G401" s="3">
        <v>0</v>
      </c>
      <c r="H401" s="3">
        <v>3</v>
      </c>
      <c r="I401" s="3">
        <v>0</v>
      </c>
      <c r="J401" s="3">
        <v>0</v>
      </c>
      <c r="K401" s="3">
        <v>0</v>
      </c>
      <c r="L401" s="3">
        <v>3</v>
      </c>
      <c r="M401" s="8">
        <f>IF(LEFT(tbl_timesheet[[#This Row],[Activity]],1)="5",tbl_timesheet[[#This Row],[Total]],0)</f>
        <v>0</v>
      </c>
      <c r="N401" s="8">
        <f>IF(LEFT(tbl_timesheet[[#This Row],[Activity]],1)="6",tbl_timesheet[[#This Row],[Total]],0)</f>
        <v>3</v>
      </c>
    </row>
    <row r="402" spans="1:14" x14ac:dyDescent="0.25">
      <c r="A402" s="2">
        <v>43527</v>
      </c>
      <c r="B402" s="8">
        <v>18234023</v>
      </c>
      <c r="C402" s="1" t="s">
        <v>177</v>
      </c>
      <c r="D402" s="1" t="s">
        <v>153</v>
      </c>
      <c r="E402" s="3">
        <v>0</v>
      </c>
      <c r="F402" s="3">
        <v>10</v>
      </c>
      <c r="G402" s="3">
        <v>0</v>
      </c>
      <c r="H402" s="3">
        <v>0</v>
      </c>
      <c r="I402" s="3">
        <v>0</v>
      </c>
      <c r="J402" s="3">
        <v>0</v>
      </c>
      <c r="K402" s="3">
        <v>0</v>
      </c>
      <c r="L402" s="3">
        <v>10</v>
      </c>
      <c r="M402" s="8">
        <f>IF(LEFT(tbl_timesheet[[#This Row],[Activity]],1)="5",tbl_timesheet[[#This Row],[Total]],0)</f>
        <v>10</v>
      </c>
      <c r="N402" s="8">
        <f>IF(LEFT(tbl_timesheet[[#This Row],[Activity]],1)="6",tbl_timesheet[[#This Row],[Total]],0)</f>
        <v>0</v>
      </c>
    </row>
    <row r="403" spans="1:14" x14ac:dyDescent="0.25">
      <c r="A403" s="2">
        <v>43527</v>
      </c>
      <c r="B403" s="8">
        <v>18234026</v>
      </c>
      <c r="C403" s="1" t="s">
        <v>5</v>
      </c>
      <c r="D403" s="1" t="s">
        <v>153</v>
      </c>
      <c r="E403" s="3">
        <v>1</v>
      </c>
      <c r="F403" s="3">
        <v>0</v>
      </c>
      <c r="G403" s="3">
        <v>0</v>
      </c>
      <c r="H403" s="3">
        <v>0</v>
      </c>
      <c r="I403" s="3">
        <v>0</v>
      </c>
      <c r="J403" s="3">
        <v>0</v>
      </c>
      <c r="K403" s="3">
        <v>0</v>
      </c>
      <c r="L403" s="3">
        <v>1</v>
      </c>
      <c r="M403" s="8">
        <f>IF(LEFT(tbl_timesheet[[#This Row],[Activity]],1)="5",tbl_timesheet[[#This Row],[Total]],0)</f>
        <v>0</v>
      </c>
      <c r="N403" s="8">
        <f>IF(LEFT(tbl_timesheet[[#This Row],[Activity]],1)="6",tbl_timesheet[[#This Row],[Total]],0)</f>
        <v>1</v>
      </c>
    </row>
    <row r="404" spans="1:14" x14ac:dyDescent="0.25">
      <c r="A404" s="2">
        <v>43527</v>
      </c>
      <c r="B404" s="8">
        <v>18234026</v>
      </c>
      <c r="C404" s="1" t="s">
        <v>34</v>
      </c>
      <c r="D404" s="1" t="s">
        <v>153</v>
      </c>
      <c r="E404" s="3">
        <v>0</v>
      </c>
      <c r="F404" s="3">
        <v>0</v>
      </c>
      <c r="G404" s="3">
        <v>1</v>
      </c>
      <c r="H404" s="3">
        <v>0</v>
      </c>
      <c r="I404" s="3">
        <v>0</v>
      </c>
      <c r="J404" s="3">
        <v>0</v>
      </c>
      <c r="K404" s="3">
        <v>0</v>
      </c>
      <c r="L404" s="3">
        <v>1</v>
      </c>
      <c r="M404" s="8">
        <f>IF(LEFT(tbl_timesheet[[#This Row],[Activity]],1)="5",tbl_timesheet[[#This Row],[Total]],0)</f>
        <v>0</v>
      </c>
      <c r="N404" s="8">
        <f>IF(LEFT(tbl_timesheet[[#This Row],[Activity]],1)="6",tbl_timesheet[[#This Row],[Total]],0)</f>
        <v>1</v>
      </c>
    </row>
    <row r="405" spans="1:14" x14ac:dyDescent="0.25">
      <c r="A405" s="2">
        <v>43527</v>
      </c>
      <c r="B405" s="8">
        <v>18234027</v>
      </c>
      <c r="C405" s="1" t="s">
        <v>34</v>
      </c>
      <c r="D405" s="1" t="s">
        <v>153</v>
      </c>
      <c r="E405" s="3">
        <v>0</v>
      </c>
      <c r="F405" s="3">
        <v>0</v>
      </c>
      <c r="G405" s="3">
        <v>1</v>
      </c>
      <c r="H405" s="3">
        <v>0</v>
      </c>
      <c r="I405" s="3">
        <v>0</v>
      </c>
      <c r="J405" s="3">
        <v>0</v>
      </c>
      <c r="K405" s="3">
        <v>0</v>
      </c>
      <c r="L405" s="3">
        <v>1</v>
      </c>
      <c r="M405" s="8">
        <f>IF(LEFT(tbl_timesheet[[#This Row],[Activity]],1)="5",tbl_timesheet[[#This Row],[Total]],0)</f>
        <v>0</v>
      </c>
      <c r="N405" s="8">
        <f>IF(LEFT(tbl_timesheet[[#This Row],[Activity]],1)="6",tbl_timesheet[[#This Row],[Total]],0)</f>
        <v>1</v>
      </c>
    </row>
    <row r="406" spans="1:14" x14ac:dyDescent="0.25">
      <c r="A406" s="2">
        <v>43527</v>
      </c>
      <c r="B406" s="8">
        <v>18234027</v>
      </c>
      <c r="C406" s="1" t="s">
        <v>5</v>
      </c>
      <c r="D406" s="1" t="s">
        <v>153</v>
      </c>
      <c r="E406" s="3">
        <v>1</v>
      </c>
      <c r="F406" s="3">
        <v>0</v>
      </c>
      <c r="G406" s="3">
        <v>0</v>
      </c>
      <c r="H406" s="3">
        <v>0</v>
      </c>
      <c r="I406" s="3">
        <v>0</v>
      </c>
      <c r="J406" s="3">
        <v>0</v>
      </c>
      <c r="K406" s="3">
        <v>0</v>
      </c>
      <c r="L406" s="3">
        <v>1</v>
      </c>
      <c r="M406" s="8">
        <f>IF(LEFT(tbl_timesheet[[#This Row],[Activity]],1)="5",tbl_timesheet[[#This Row],[Total]],0)</f>
        <v>0</v>
      </c>
      <c r="N406" s="8">
        <f>IF(LEFT(tbl_timesheet[[#This Row],[Activity]],1)="6",tbl_timesheet[[#This Row],[Total]],0)</f>
        <v>1</v>
      </c>
    </row>
    <row r="407" spans="1:14" x14ac:dyDescent="0.25">
      <c r="A407" s="2">
        <v>43527</v>
      </c>
      <c r="B407" s="8">
        <v>18234032</v>
      </c>
      <c r="C407" s="1" t="s">
        <v>79</v>
      </c>
      <c r="D407" s="1" t="s">
        <v>153</v>
      </c>
      <c r="E407" s="3">
        <v>0</v>
      </c>
      <c r="F407" s="3">
        <v>0</v>
      </c>
      <c r="G407" s="3">
        <v>0</v>
      </c>
      <c r="H407" s="3">
        <v>7</v>
      </c>
      <c r="I407" s="3">
        <v>0</v>
      </c>
      <c r="J407" s="3">
        <v>0</v>
      </c>
      <c r="K407" s="3">
        <v>0</v>
      </c>
      <c r="L407" s="3">
        <v>7</v>
      </c>
      <c r="M407" s="8">
        <f>IF(LEFT(tbl_timesheet[[#This Row],[Activity]],1)="5",tbl_timesheet[[#This Row],[Total]],0)</f>
        <v>0</v>
      </c>
      <c r="N407" s="8">
        <f>IF(LEFT(tbl_timesheet[[#This Row],[Activity]],1)="6",tbl_timesheet[[#This Row],[Total]],0)</f>
        <v>7</v>
      </c>
    </row>
    <row r="408" spans="1:14" x14ac:dyDescent="0.25">
      <c r="A408" s="2">
        <v>43527</v>
      </c>
      <c r="B408" s="8">
        <v>18261014</v>
      </c>
      <c r="C408" s="1" t="s">
        <v>5</v>
      </c>
      <c r="D408" s="1" t="s">
        <v>153</v>
      </c>
      <c r="E408" s="3">
        <v>0</v>
      </c>
      <c r="F408" s="3">
        <v>0</v>
      </c>
      <c r="G408" s="3">
        <v>3</v>
      </c>
      <c r="H408" s="3">
        <v>0</v>
      </c>
      <c r="I408" s="3">
        <v>0</v>
      </c>
      <c r="J408" s="3">
        <v>0</v>
      </c>
      <c r="K408" s="3">
        <v>0</v>
      </c>
      <c r="L408" s="3">
        <v>3</v>
      </c>
      <c r="M408" s="8">
        <f>IF(LEFT(tbl_timesheet[[#This Row],[Activity]],1)="5",tbl_timesheet[[#This Row],[Total]],0)</f>
        <v>0</v>
      </c>
      <c r="N408" s="8">
        <f>IF(LEFT(tbl_timesheet[[#This Row],[Activity]],1)="6",tbl_timesheet[[#This Row],[Total]],0)</f>
        <v>3</v>
      </c>
    </row>
    <row r="409" spans="1:14" x14ac:dyDescent="0.25">
      <c r="A409" s="2">
        <v>43527</v>
      </c>
      <c r="B409" s="8">
        <v>18261116</v>
      </c>
      <c r="C409" s="1" t="s">
        <v>6</v>
      </c>
      <c r="D409" s="1" t="s">
        <v>153</v>
      </c>
      <c r="E409" s="3">
        <v>3</v>
      </c>
      <c r="F409" s="3">
        <v>0</v>
      </c>
      <c r="G409" s="3">
        <v>0</v>
      </c>
      <c r="H409" s="3">
        <v>0</v>
      </c>
      <c r="I409" s="3">
        <v>0</v>
      </c>
      <c r="J409" s="3">
        <v>0</v>
      </c>
      <c r="K409" s="3">
        <v>0</v>
      </c>
      <c r="L409" s="3">
        <v>3</v>
      </c>
      <c r="M409" s="8">
        <f>IF(LEFT(tbl_timesheet[[#This Row],[Activity]],1)="5",tbl_timesheet[[#This Row],[Total]],0)</f>
        <v>0</v>
      </c>
      <c r="N409" s="8">
        <f>IF(LEFT(tbl_timesheet[[#This Row],[Activity]],1)="6",tbl_timesheet[[#This Row],[Total]],0)</f>
        <v>3</v>
      </c>
    </row>
    <row r="410" spans="1:14" x14ac:dyDescent="0.25">
      <c r="A410" s="2">
        <v>43527</v>
      </c>
      <c r="B410" s="8">
        <v>18261116</v>
      </c>
      <c r="C410" s="1" t="s">
        <v>5</v>
      </c>
      <c r="D410" s="1" t="s">
        <v>153</v>
      </c>
      <c r="E410" s="3">
        <v>2</v>
      </c>
      <c r="F410" s="3">
        <v>0</v>
      </c>
      <c r="G410" s="3">
        <v>0</v>
      </c>
      <c r="H410" s="3">
        <v>0</v>
      </c>
      <c r="I410" s="3">
        <v>0</v>
      </c>
      <c r="J410" s="3">
        <v>0</v>
      </c>
      <c r="K410" s="3">
        <v>0</v>
      </c>
      <c r="L410" s="3">
        <v>2</v>
      </c>
      <c r="M410" s="8">
        <f>IF(LEFT(tbl_timesheet[[#This Row],[Activity]],1)="5",tbl_timesheet[[#This Row],[Total]],0)</f>
        <v>0</v>
      </c>
      <c r="N410" s="8">
        <f>IF(LEFT(tbl_timesheet[[#This Row],[Activity]],1)="6",tbl_timesheet[[#This Row],[Total]],0)</f>
        <v>2</v>
      </c>
    </row>
    <row r="411" spans="1:14" x14ac:dyDescent="0.25">
      <c r="A411" s="2">
        <v>43527</v>
      </c>
      <c r="B411" s="8">
        <v>18281036</v>
      </c>
      <c r="C411" s="1" t="s">
        <v>34</v>
      </c>
      <c r="D411" s="1" t="s">
        <v>153</v>
      </c>
      <c r="E411" s="3">
        <v>0</v>
      </c>
      <c r="F411" s="3">
        <v>2</v>
      </c>
      <c r="G411" s="3">
        <v>2</v>
      </c>
      <c r="H411" s="3">
        <v>0</v>
      </c>
      <c r="I411" s="3">
        <v>0.5</v>
      </c>
      <c r="J411" s="3">
        <v>0</v>
      </c>
      <c r="K411" s="3">
        <v>0</v>
      </c>
      <c r="L411" s="3">
        <v>4.5</v>
      </c>
      <c r="M411" s="8">
        <f>IF(LEFT(tbl_timesheet[[#This Row],[Activity]],1)="5",tbl_timesheet[[#This Row],[Total]],0)</f>
        <v>0</v>
      </c>
      <c r="N411" s="8">
        <f>IF(LEFT(tbl_timesheet[[#This Row],[Activity]],1)="6",tbl_timesheet[[#This Row],[Total]],0)</f>
        <v>4.5</v>
      </c>
    </row>
    <row r="412" spans="1:14" x14ac:dyDescent="0.25">
      <c r="A412" s="2">
        <v>43527</v>
      </c>
      <c r="B412" s="8">
        <v>18281037</v>
      </c>
      <c r="C412" s="1" t="s">
        <v>34</v>
      </c>
      <c r="D412" s="1" t="s">
        <v>153</v>
      </c>
      <c r="E412" s="3">
        <v>0</v>
      </c>
      <c r="F412" s="3">
        <v>0</v>
      </c>
      <c r="G412" s="3">
        <v>2</v>
      </c>
      <c r="H412" s="3">
        <v>0</v>
      </c>
      <c r="I412" s="3">
        <v>0.5</v>
      </c>
      <c r="J412" s="3">
        <v>0</v>
      </c>
      <c r="K412" s="3">
        <v>0</v>
      </c>
      <c r="L412" s="3">
        <v>2.5</v>
      </c>
      <c r="M412" s="8">
        <f>IF(LEFT(tbl_timesheet[[#This Row],[Activity]],1)="5",tbl_timesheet[[#This Row],[Total]],0)</f>
        <v>0</v>
      </c>
      <c r="N412" s="8">
        <f>IF(LEFT(tbl_timesheet[[#This Row],[Activity]],1)="6",tbl_timesheet[[#This Row],[Total]],0)</f>
        <v>2.5</v>
      </c>
    </row>
    <row r="413" spans="1:14" x14ac:dyDescent="0.25">
      <c r="A413" s="2">
        <v>43527</v>
      </c>
      <c r="B413" s="8">
        <v>18281043</v>
      </c>
      <c r="C413" s="1" t="s">
        <v>34</v>
      </c>
      <c r="D413" s="1" t="s">
        <v>153</v>
      </c>
      <c r="E413" s="3">
        <v>0</v>
      </c>
      <c r="F413" s="3">
        <v>0</v>
      </c>
      <c r="G413" s="3">
        <v>2</v>
      </c>
      <c r="H413" s="3">
        <v>0</v>
      </c>
      <c r="I413" s="3">
        <v>0.5</v>
      </c>
      <c r="J413" s="3">
        <v>0</v>
      </c>
      <c r="K413" s="3">
        <v>0</v>
      </c>
      <c r="L413" s="3">
        <v>2.5</v>
      </c>
      <c r="M413" s="8">
        <f>IF(LEFT(tbl_timesheet[[#This Row],[Activity]],1)="5",tbl_timesheet[[#This Row],[Total]],0)</f>
        <v>0</v>
      </c>
      <c r="N413" s="8">
        <f>IF(LEFT(tbl_timesheet[[#This Row],[Activity]],1)="6",tbl_timesheet[[#This Row],[Total]],0)</f>
        <v>2.5</v>
      </c>
    </row>
    <row r="414" spans="1:14" x14ac:dyDescent="0.25">
      <c r="A414" s="2">
        <v>43534</v>
      </c>
      <c r="B414" s="8">
        <v>18234026</v>
      </c>
      <c r="C414" s="1" t="s">
        <v>173</v>
      </c>
      <c r="D414" s="1" t="s">
        <v>153</v>
      </c>
      <c r="E414" s="3">
        <v>0</v>
      </c>
      <c r="F414" s="3">
        <v>0</v>
      </c>
      <c r="G414" s="3">
        <v>0</v>
      </c>
      <c r="H414" s="3">
        <v>5</v>
      </c>
      <c r="I414" s="3">
        <v>0</v>
      </c>
      <c r="J414" s="3">
        <v>0</v>
      </c>
      <c r="K414" s="3">
        <v>0</v>
      </c>
      <c r="L414" s="3">
        <v>5</v>
      </c>
      <c r="M414" s="8">
        <f>IF(LEFT(tbl_timesheet[[#This Row],[Activity]],1)="5",tbl_timesheet[[#This Row],[Total]],0)</f>
        <v>0</v>
      </c>
      <c r="N414" s="8">
        <f>IF(LEFT(tbl_timesheet[[#This Row],[Activity]],1)="6",tbl_timesheet[[#This Row],[Total]],0)</f>
        <v>5</v>
      </c>
    </row>
    <row r="415" spans="1:14" x14ac:dyDescent="0.25">
      <c r="A415" s="2">
        <v>43534</v>
      </c>
      <c r="B415" s="8">
        <v>18234032</v>
      </c>
      <c r="C415" s="1" t="s">
        <v>34</v>
      </c>
      <c r="D415" s="1" t="s">
        <v>153</v>
      </c>
      <c r="E415" s="3">
        <v>10</v>
      </c>
      <c r="F415" s="3">
        <v>10</v>
      </c>
      <c r="G415" s="3">
        <v>0</v>
      </c>
      <c r="H415" s="3">
        <v>0</v>
      </c>
      <c r="I415" s="3">
        <v>0</v>
      </c>
      <c r="J415" s="3">
        <v>0</v>
      </c>
      <c r="K415" s="3">
        <v>0</v>
      </c>
      <c r="L415" s="3">
        <v>20</v>
      </c>
      <c r="M415" s="8">
        <f>IF(LEFT(tbl_timesheet[[#This Row],[Activity]],1)="5",tbl_timesheet[[#This Row],[Total]],0)</f>
        <v>0</v>
      </c>
      <c r="N415" s="8">
        <f>IF(LEFT(tbl_timesheet[[#This Row],[Activity]],1)="6",tbl_timesheet[[#This Row],[Total]],0)</f>
        <v>20</v>
      </c>
    </row>
    <row r="416" spans="1:14" x14ac:dyDescent="0.25">
      <c r="A416" s="2">
        <v>43534</v>
      </c>
      <c r="B416" s="8">
        <v>18261014</v>
      </c>
      <c r="C416" s="1" t="s">
        <v>88</v>
      </c>
      <c r="D416" s="1" t="s">
        <v>153</v>
      </c>
      <c r="E416" s="3">
        <v>0</v>
      </c>
      <c r="F416" s="3">
        <v>0</v>
      </c>
      <c r="G416" s="3">
        <v>5</v>
      </c>
      <c r="H416" s="3">
        <v>0</v>
      </c>
      <c r="I416" s="3">
        <v>0</v>
      </c>
      <c r="J416" s="3">
        <v>0</v>
      </c>
      <c r="K416" s="3">
        <v>0</v>
      </c>
      <c r="L416" s="3">
        <v>5</v>
      </c>
      <c r="M416" s="8">
        <f>IF(LEFT(tbl_timesheet[[#This Row],[Activity]],1)="5",tbl_timesheet[[#This Row],[Total]],0)</f>
        <v>5</v>
      </c>
      <c r="N416" s="8">
        <f>IF(LEFT(tbl_timesheet[[#This Row],[Activity]],1)="6",tbl_timesheet[[#This Row],[Total]],0)</f>
        <v>0</v>
      </c>
    </row>
    <row r="417" spans="1:14" x14ac:dyDescent="0.25">
      <c r="A417" s="2">
        <v>43534</v>
      </c>
      <c r="B417" s="8">
        <v>18261014</v>
      </c>
      <c r="C417" s="1" t="s">
        <v>5</v>
      </c>
      <c r="D417" s="1" t="s">
        <v>153</v>
      </c>
      <c r="E417" s="3">
        <v>0</v>
      </c>
      <c r="F417" s="3">
        <v>0</v>
      </c>
      <c r="G417" s="3">
        <v>0</v>
      </c>
      <c r="H417" s="3">
        <v>5</v>
      </c>
      <c r="I417" s="3">
        <v>0</v>
      </c>
      <c r="J417" s="3">
        <v>0</v>
      </c>
      <c r="K417" s="3">
        <v>0</v>
      </c>
      <c r="L417" s="3">
        <v>5</v>
      </c>
      <c r="M417" s="8">
        <f>IF(LEFT(tbl_timesheet[[#This Row],[Activity]],1)="5",tbl_timesheet[[#This Row],[Total]],0)</f>
        <v>0</v>
      </c>
      <c r="N417" s="8">
        <f>IF(LEFT(tbl_timesheet[[#This Row],[Activity]],1)="6",tbl_timesheet[[#This Row],[Total]],0)</f>
        <v>5</v>
      </c>
    </row>
    <row r="418" spans="1:14" x14ac:dyDescent="0.25">
      <c r="A418" s="2">
        <v>43534</v>
      </c>
      <c r="B418" s="8">
        <v>18261116</v>
      </c>
      <c r="C418" s="1" t="s">
        <v>34</v>
      </c>
      <c r="D418" s="1" t="s">
        <v>153</v>
      </c>
      <c r="E418" s="3">
        <v>0</v>
      </c>
      <c r="F418" s="3">
        <v>0</v>
      </c>
      <c r="G418" s="3">
        <v>5</v>
      </c>
      <c r="H418" s="3">
        <v>0</v>
      </c>
      <c r="I418" s="3">
        <v>0</v>
      </c>
      <c r="J418" s="3">
        <v>0</v>
      </c>
      <c r="K418" s="3">
        <v>0</v>
      </c>
      <c r="L418" s="3">
        <v>5</v>
      </c>
      <c r="M418" s="8">
        <f>IF(LEFT(tbl_timesheet[[#This Row],[Activity]],1)="5",tbl_timesheet[[#This Row],[Total]],0)</f>
        <v>0</v>
      </c>
      <c r="N418" s="8">
        <f>IF(LEFT(tbl_timesheet[[#This Row],[Activity]],1)="6",tbl_timesheet[[#This Row],[Total]],0)</f>
        <v>5</v>
      </c>
    </row>
    <row r="419" spans="1:14" x14ac:dyDescent="0.25">
      <c r="A419" s="2">
        <v>43541</v>
      </c>
      <c r="B419" s="8">
        <v>18234026</v>
      </c>
      <c r="C419" s="1" t="s">
        <v>177</v>
      </c>
      <c r="D419" s="1" t="s">
        <v>153</v>
      </c>
      <c r="E419" s="3">
        <v>9</v>
      </c>
      <c r="F419" s="3">
        <v>0</v>
      </c>
      <c r="G419" s="3">
        <v>0</v>
      </c>
      <c r="H419" s="3">
        <v>0</v>
      </c>
      <c r="I419" s="3">
        <v>0</v>
      </c>
      <c r="J419" s="3">
        <v>0</v>
      </c>
      <c r="K419" s="3">
        <v>0</v>
      </c>
      <c r="L419" s="3">
        <v>9</v>
      </c>
      <c r="M419" s="8">
        <f>IF(LEFT(tbl_timesheet[[#This Row],[Activity]],1)="5",tbl_timesheet[[#This Row],[Total]],0)</f>
        <v>9</v>
      </c>
      <c r="N419" s="8">
        <f>IF(LEFT(tbl_timesheet[[#This Row],[Activity]],1)="6",tbl_timesheet[[#This Row],[Total]],0)</f>
        <v>0</v>
      </c>
    </row>
    <row r="420" spans="1:14" x14ac:dyDescent="0.25">
      <c r="A420" s="2">
        <v>43541</v>
      </c>
      <c r="B420" s="8">
        <v>18234026</v>
      </c>
      <c r="C420" s="1" t="s">
        <v>88</v>
      </c>
      <c r="D420" s="1" t="s">
        <v>153</v>
      </c>
      <c r="E420" s="3">
        <v>0</v>
      </c>
      <c r="F420" s="3">
        <v>0</v>
      </c>
      <c r="G420" s="3">
        <v>6</v>
      </c>
      <c r="H420" s="3">
        <v>0</v>
      </c>
      <c r="I420" s="3">
        <v>0</v>
      </c>
      <c r="J420" s="3">
        <v>0</v>
      </c>
      <c r="K420" s="3">
        <v>0</v>
      </c>
      <c r="L420" s="3">
        <v>6</v>
      </c>
      <c r="M420" s="8">
        <f>IF(LEFT(tbl_timesheet[[#This Row],[Activity]],1)="5",tbl_timesheet[[#This Row],[Total]],0)</f>
        <v>6</v>
      </c>
      <c r="N420" s="8">
        <f>IF(LEFT(tbl_timesheet[[#This Row],[Activity]],1)="6",tbl_timesheet[[#This Row],[Total]],0)</f>
        <v>0</v>
      </c>
    </row>
    <row r="421" spans="1:14" x14ac:dyDescent="0.25">
      <c r="A421" s="2">
        <v>43541</v>
      </c>
      <c r="B421" s="8">
        <v>18234027</v>
      </c>
      <c r="C421" s="1" t="s">
        <v>88</v>
      </c>
      <c r="D421" s="1" t="s">
        <v>153</v>
      </c>
      <c r="E421" s="3">
        <v>0</v>
      </c>
      <c r="F421" s="3">
        <v>0</v>
      </c>
      <c r="G421" s="3">
        <v>0</v>
      </c>
      <c r="H421" s="3">
        <v>9</v>
      </c>
      <c r="I421" s="3">
        <v>4</v>
      </c>
      <c r="J421" s="3">
        <v>0</v>
      </c>
      <c r="K421" s="3">
        <v>0</v>
      </c>
      <c r="L421" s="3">
        <v>13</v>
      </c>
      <c r="M421" s="8">
        <f>IF(LEFT(tbl_timesheet[[#This Row],[Activity]],1)="5",tbl_timesheet[[#This Row],[Total]],0)</f>
        <v>13</v>
      </c>
      <c r="N421" s="8">
        <f>IF(LEFT(tbl_timesheet[[#This Row],[Activity]],1)="6",tbl_timesheet[[#This Row],[Total]],0)</f>
        <v>0</v>
      </c>
    </row>
    <row r="422" spans="1:14" x14ac:dyDescent="0.25">
      <c r="A422" s="2">
        <v>43541</v>
      </c>
      <c r="B422" s="8">
        <v>18234027</v>
      </c>
      <c r="C422" s="1" t="s">
        <v>177</v>
      </c>
      <c r="D422" s="1" t="s">
        <v>153</v>
      </c>
      <c r="E422" s="3">
        <v>0</v>
      </c>
      <c r="F422" s="3">
        <v>9</v>
      </c>
      <c r="G422" s="3">
        <v>0</v>
      </c>
      <c r="H422" s="3">
        <v>0</v>
      </c>
      <c r="I422" s="3">
        <v>0</v>
      </c>
      <c r="J422" s="3">
        <v>0</v>
      </c>
      <c r="K422" s="3">
        <v>0</v>
      </c>
      <c r="L422" s="3">
        <v>9</v>
      </c>
      <c r="M422" s="8">
        <f>IF(LEFT(tbl_timesheet[[#This Row],[Activity]],1)="5",tbl_timesheet[[#This Row],[Total]],0)</f>
        <v>9</v>
      </c>
      <c r="N422" s="8">
        <f>IF(LEFT(tbl_timesheet[[#This Row],[Activity]],1)="6",tbl_timesheet[[#This Row],[Total]],0)</f>
        <v>0</v>
      </c>
    </row>
    <row r="423" spans="1:14" x14ac:dyDescent="0.25">
      <c r="A423" s="2">
        <v>43541</v>
      </c>
      <c r="B423" s="8">
        <v>18261014</v>
      </c>
      <c r="C423" s="1" t="s">
        <v>34</v>
      </c>
      <c r="D423" s="1" t="s">
        <v>153</v>
      </c>
      <c r="E423" s="3">
        <v>0</v>
      </c>
      <c r="F423" s="3">
        <v>0</v>
      </c>
      <c r="G423" s="3">
        <v>2</v>
      </c>
      <c r="H423" s="3">
        <v>0</v>
      </c>
      <c r="I423" s="3">
        <v>0</v>
      </c>
      <c r="J423" s="3">
        <v>0</v>
      </c>
      <c r="K423" s="3">
        <v>0</v>
      </c>
      <c r="L423" s="3">
        <v>2</v>
      </c>
      <c r="M423" s="8">
        <f>IF(LEFT(tbl_timesheet[[#This Row],[Activity]],1)="5",tbl_timesheet[[#This Row],[Total]],0)</f>
        <v>0</v>
      </c>
      <c r="N423" s="8">
        <f>IF(LEFT(tbl_timesheet[[#This Row],[Activity]],1)="6",tbl_timesheet[[#This Row],[Total]],0)</f>
        <v>2</v>
      </c>
    </row>
    <row r="424" spans="1:14" x14ac:dyDescent="0.25">
      <c r="A424" s="2">
        <v>43541</v>
      </c>
      <c r="B424" s="8">
        <v>18261112</v>
      </c>
      <c r="C424" s="1" t="s">
        <v>5</v>
      </c>
      <c r="D424" s="1" t="s">
        <v>153</v>
      </c>
      <c r="E424" s="3">
        <v>0</v>
      </c>
      <c r="F424" s="3">
        <v>0</v>
      </c>
      <c r="G424" s="3">
        <v>1</v>
      </c>
      <c r="H424" s="3">
        <v>0</v>
      </c>
      <c r="I424" s="3">
        <v>0</v>
      </c>
      <c r="J424" s="3">
        <v>0</v>
      </c>
      <c r="K424" s="3">
        <v>0</v>
      </c>
      <c r="L424" s="3">
        <v>1</v>
      </c>
      <c r="M424" s="8">
        <f>IF(LEFT(tbl_timesheet[[#This Row],[Activity]],1)="5",tbl_timesheet[[#This Row],[Total]],0)</f>
        <v>0</v>
      </c>
      <c r="N424" s="8">
        <f>IF(LEFT(tbl_timesheet[[#This Row],[Activity]],1)="6",tbl_timesheet[[#This Row],[Total]],0)</f>
        <v>1</v>
      </c>
    </row>
  </sheetData>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42"/>
  <sheetViews>
    <sheetView topLeftCell="C1" workbookViewId="0">
      <pane ySplit="1" topLeftCell="A2" activePane="bottomLeft" state="frozen"/>
      <selection pane="bottomLeft" activeCell="E42" sqref="E42"/>
    </sheetView>
  </sheetViews>
  <sheetFormatPr defaultRowHeight="11.25" x14ac:dyDescent="0.2"/>
  <cols>
    <col min="1" max="1" width="13.5703125" style="1" bestFit="1" customWidth="1"/>
    <col min="2" max="2" width="25.140625" style="18" bestFit="1" customWidth="1"/>
    <col min="3" max="3" width="33" style="1" bestFit="1" customWidth="1"/>
    <col min="4" max="4" width="14.85546875" style="1" customWidth="1"/>
    <col min="5" max="5" width="10.85546875" style="1" bestFit="1" customWidth="1"/>
    <col min="6" max="7" width="9" style="1" customWidth="1"/>
    <col min="8" max="8" width="9.7109375" style="1" customWidth="1"/>
    <col min="9" max="21" width="9" style="1" customWidth="1"/>
    <col min="22" max="16384" width="9.140625" style="1"/>
  </cols>
  <sheetData>
    <row r="1" spans="1:22" ht="22.5" x14ac:dyDescent="0.2">
      <c r="A1" s="1" t="s">
        <v>116</v>
      </c>
      <c r="B1" s="18" t="s">
        <v>115</v>
      </c>
      <c r="C1" s="1" t="s">
        <v>20</v>
      </c>
      <c r="D1" s="1" t="s">
        <v>81</v>
      </c>
      <c r="E1" s="1" t="s">
        <v>82</v>
      </c>
      <c r="F1" s="3" t="s">
        <v>49</v>
      </c>
      <c r="G1" s="4" t="s">
        <v>62</v>
      </c>
      <c r="H1" s="4" t="s">
        <v>63</v>
      </c>
      <c r="I1" s="4" t="s">
        <v>65</v>
      </c>
      <c r="J1" s="4" t="s">
        <v>53</v>
      </c>
      <c r="K1" s="4" t="s">
        <v>58</v>
      </c>
      <c r="L1" s="4" t="s">
        <v>66</v>
      </c>
      <c r="M1" s="4" t="s">
        <v>54</v>
      </c>
      <c r="N1" s="4" t="s">
        <v>59</v>
      </c>
      <c r="O1" s="4" t="s">
        <v>55</v>
      </c>
      <c r="P1" s="4" t="s">
        <v>60</v>
      </c>
      <c r="Q1" s="4" t="s">
        <v>56</v>
      </c>
      <c r="R1" s="4" t="s">
        <v>61</v>
      </c>
      <c r="S1" s="4" t="s">
        <v>57</v>
      </c>
      <c r="T1" s="4" t="s">
        <v>52</v>
      </c>
      <c r="U1" s="4" t="s">
        <v>50</v>
      </c>
      <c r="V1" s="4" t="s">
        <v>51</v>
      </c>
    </row>
    <row r="2" spans="1:22" x14ac:dyDescent="0.2">
      <c r="A2" s="3" t="s">
        <v>94</v>
      </c>
      <c r="B2" s="18" t="s">
        <v>117</v>
      </c>
      <c r="C2" s="1" t="s">
        <v>0</v>
      </c>
      <c r="D2" s="1" t="s">
        <v>84</v>
      </c>
      <c r="E2" s="1" t="s">
        <v>83</v>
      </c>
      <c r="F2" s="3" t="b">
        <v>0</v>
      </c>
      <c r="G2" s="3">
        <v>100</v>
      </c>
      <c r="H2" s="3">
        <v>196</v>
      </c>
      <c r="I2" s="3" t="s">
        <v>64</v>
      </c>
      <c r="J2" s="3">
        <v>64</v>
      </c>
      <c r="K2" s="3">
        <v>285</v>
      </c>
      <c r="L2" s="3" t="s">
        <v>67</v>
      </c>
      <c r="M2" s="3">
        <v>130</v>
      </c>
      <c r="N2" s="3">
        <v>0</v>
      </c>
      <c r="O2" s="3"/>
      <c r="P2" s="3"/>
      <c r="Q2" s="3"/>
      <c r="R2" s="3"/>
      <c r="S2" s="3"/>
      <c r="T2" s="3"/>
      <c r="U2" s="3">
        <f>SUM(tbl_projects[[#This Row],[CO 5
IE]],tbl_projects[[#This Row],[CO 4
IE]],tbl_projects[[#This Row],[CO 3
IE]],tbl_projects[[#This Row],[CO 2
IE]],tbl_projects[[#This Row],[CO 1
IE]],tbl_projects[[#This Row],[Orig Budget
IE]])</f>
        <v>294</v>
      </c>
      <c r="V2" s="3">
        <f>SUM(tbl_projects[[#This Row],[CO 6
EE]],tbl_projects[[#This Row],[CO 4
EE]],tbl_projects[[#This Row],[CO 3
EE]],tbl_projects[[#This Row],[CO 2
EE]],tbl_projects[[#This Row],[CO 1
EE]],tbl_projects[[#This Row],[Orig Budget
EE]])</f>
        <v>481</v>
      </c>
    </row>
    <row r="3" spans="1:22" x14ac:dyDescent="0.2">
      <c r="A3" s="3" t="s">
        <v>95</v>
      </c>
      <c r="B3" s="18" t="s">
        <v>118</v>
      </c>
      <c r="C3" s="1" t="s">
        <v>44</v>
      </c>
      <c r="D3" s="1" t="s">
        <v>84</v>
      </c>
      <c r="E3" s="1" t="s">
        <v>83</v>
      </c>
      <c r="F3" s="3" t="b">
        <v>0</v>
      </c>
      <c r="G3" s="3"/>
      <c r="H3" s="3"/>
      <c r="I3" s="3"/>
      <c r="J3" s="3"/>
      <c r="K3" s="3"/>
      <c r="L3" s="3"/>
      <c r="M3" s="3"/>
      <c r="N3" s="3"/>
      <c r="O3" s="3"/>
      <c r="P3" s="3"/>
      <c r="Q3" s="3"/>
      <c r="R3" s="3"/>
      <c r="S3" s="3"/>
      <c r="T3" s="3"/>
      <c r="U3" s="3">
        <f>SUM(tbl_projects[[#This Row],[CO 5
IE]],tbl_projects[[#This Row],[CO 4
IE]],tbl_projects[[#This Row],[CO 3
IE]],tbl_projects[[#This Row],[CO 2
IE]],tbl_projects[[#This Row],[CO 1
IE]],tbl_projects[[#This Row],[Orig Budget
IE]])</f>
        <v>0</v>
      </c>
      <c r="V3" s="3">
        <f>SUM(tbl_projects[[#This Row],[CO 6
EE]],tbl_projects[[#This Row],[CO 4
EE]],tbl_projects[[#This Row],[CO 3
EE]],tbl_projects[[#This Row],[CO 2
EE]],tbl_projects[[#This Row],[CO 1
EE]],tbl_projects[[#This Row],[Orig Budget
EE]])</f>
        <v>0</v>
      </c>
    </row>
    <row r="4" spans="1:22" x14ac:dyDescent="0.2">
      <c r="A4" s="3" t="s">
        <v>96</v>
      </c>
      <c r="B4" s="18" t="s">
        <v>119</v>
      </c>
      <c r="C4" s="1" t="s">
        <v>26</v>
      </c>
      <c r="D4" s="1" t="s">
        <v>84</v>
      </c>
      <c r="E4" s="1" t="s">
        <v>83</v>
      </c>
      <c r="F4" s="3" t="b">
        <v>0</v>
      </c>
      <c r="G4" s="3">
        <v>53</v>
      </c>
      <c r="H4" s="3">
        <v>26</v>
      </c>
      <c r="I4" s="3"/>
      <c r="J4" s="3"/>
      <c r="K4" s="3"/>
      <c r="L4" s="3"/>
      <c r="M4" s="3"/>
      <c r="N4" s="3"/>
      <c r="O4" s="3"/>
      <c r="P4" s="3"/>
      <c r="Q4" s="3"/>
      <c r="R4" s="3"/>
      <c r="S4" s="3"/>
      <c r="T4" s="3"/>
      <c r="U4" s="3">
        <f>SUM(tbl_projects[[#This Row],[CO 5
IE]],tbl_projects[[#This Row],[CO 4
IE]],tbl_projects[[#This Row],[CO 3
IE]],tbl_projects[[#This Row],[CO 2
IE]],tbl_projects[[#This Row],[CO 1
IE]],tbl_projects[[#This Row],[Orig Budget
IE]])</f>
        <v>53</v>
      </c>
      <c r="V4" s="3">
        <f>SUM(tbl_projects[[#This Row],[CO 6
EE]],tbl_projects[[#This Row],[CO 4
EE]],tbl_projects[[#This Row],[CO 3
EE]],tbl_projects[[#This Row],[CO 2
EE]],tbl_projects[[#This Row],[CO 1
EE]],tbl_projects[[#This Row],[Orig Budget
EE]])</f>
        <v>26</v>
      </c>
    </row>
    <row r="5" spans="1:22" x14ac:dyDescent="0.2">
      <c r="A5" s="3" t="s">
        <v>97</v>
      </c>
      <c r="B5" s="18" t="s">
        <v>120</v>
      </c>
      <c r="C5" s="1" t="s">
        <v>36</v>
      </c>
      <c r="D5" s="1" t="s">
        <v>84</v>
      </c>
      <c r="E5" s="1" t="s">
        <v>83</v>
      </c>
      <c r="F5" s="3" t="b">
        <v>0</v>
      </c>
      <c r="G5" s="3">
        <v>0</v>
      </c>
      <c r="H5" s="3">
        <v>34</v>
      </c>
      <c r="I5" s="3" t="s">
        <v>64</v>
      </c>
      <c r="J5" s="3">
        <v>63</v>
      </c>
      <c r="K5" s="3">
        <v>70</v>
      </c>
      <c r="L5" s="3"/>
      <c r="M5" s="3"/>
      <c r="N5" s="3"/>
      <c r="O5" s="3"/>
      <c r="P5" s="3"/>
      <c r="Q5" s="3"/>
      <c r="R5" s="3"/>
      <c r="S5" s="3"/>
      <c r="T5" s="3"/>
      <c r="U5" s="3">
        <f>SUM(tbl_projects[[#This Row],[CO 5
IE]],tbl_projects[[#This Row],[CO 4
IE]],tbl_projects[[#This Row],[CO 3
IE]],tbl_projects[[#This Row],[CO 2
IE]],tbl_projects[[#This Row],[CO 1
IE]],tbl_projects[[#This Row],[Orig Budget
IE]])</f>
        <v>63</v>
      </c>
      <c r="V5" s="3">
        <f>SUM(tbl_projects[[#This Row],[CO 6
EE]],tbl_projects[[#This Row],[CO 4
EE]],tbl_projects[[#This Row],[CO 3
EE]],tbl_projects[[#This Row],[CO 2
EE]],tbl_projects[[#This Row],[CO 1
EE]],tbl_projects[[#This Row],[Orig Budget
EE]])</f>
        <v>104</v>
      </c>
    </row>
    <row r="6" spans="1:22" x14ac:dyDescent="0.2">
      <c r="A6" s="3" t="s">
        <v>98</v>
      </c>
      <c r="B6" s="18" t="s">
        <v>121</v>
      </c>
      <c r="C6" s="1" t="s">
        <v>2</v>
      </c>
      <c r="D6" s="1" t="s">
        <v>84</v>
      </c>
      <c r="E6" s="1" t="s">
        <v>83</v>
      </c>
      <c r="F6" s="3" t="b">
        <v>0</v>
      </c>
      <c r="G6" s="3"/>
      <c r="H6" s="3"/>
      <c r="I6" s="3"/>
      <c r="J6" s="3"/>
      <c r="K6" s="3"/>
      <c r="L6" s="3"/>
      <c r="M6" s="3"/>
      <c r="N6" s="3"/>
      <c r="O6" s="3"/>
      <c r="P6" s="3"/>
      <c r="Q6" s="3"/>
      <c r="R6" s="3"/>
      <c r="S6" s="3"/>
      <c r="T6" s="3"/>
      <c r="U6" s="3">
        <f>SUM(tbl_projects[[#This Row],[CO 5
IE]],tbl_projects[[#This Row],[CO 4
IE]],tbl_projects[[#This Row],[CO 3
IE]],tbl_projects[[#This Row],[CO 2
IE]],tbl_projects[[#This Row],[CO 1
IE]],tbl_projects[[#This Row],[Orig Budget
IE]])</f>
        <v>0</v>
      </c>
      <c r="V6" s="3">
        <f>SUM(tbl_projects[[#This Row],[CO 6
EE]],tbl_projects[[#This Row],[CO 4
EE]],tbl_projects[[#This Row],[CO 3
EE]],tbl_projects[[#This Row],[CO 2
EE]],tbl_projects[[#This Row],[CO 1
EE]],tbl_projects[[#This Row],[Orig Budget
EE]])</f>
        <v>0</v>
      </c>
    </row>
    <row r="7" spans="1:22" x14ac:dyDescent="0.2">
      <c r="A7" s="3" t="s">
        <v>99</v>
      </c>
      <c r="B7" s="18" t="s">
        <v>122</v>
      </c>
      <c r="C7" s="1" t="s">
        <v>41</v>
      </c>
      <c r="D7" s="1" t="s">
        <v>84</v>
      </c>
      <c r="E7" s="1" t="s">
        <v>83</v>
      </c>
      <c r="F7" s="3" t="b">
        <v>0</v>
      </c>
      <c r="G7" s="3">
        <v>0</v>
      </c>
      <c r="H7" s="3">
        <v>0</v>
      </c>
      <c r="I7" s="3"/>
      <c r="J7" s="3"/>
      <c r="K7" s="3"/>
      <c r="L7" s="3"/>
      <c r="M7" s="3"/>
      <c r="N7" s="3"/>
      <c r="O7" s="3"/>
      <c r="P7" s="3"/>
      <c r="Q7" s="3"/>
      <c r="R7" s="3"/>
      <c r="S7" s="3"/>
      <c r="T7" s="3"/>
      <c r="U7" s="3">
        <f>SUM(tbl_projects[[#This Row],[CO 5
IE]],tbl_projects[[#This Row],[CO 4
IE]],tbl_projects[[#This Row],[CO 3
IE]],tbl_projects[[#This Row],[CO 2
IE]],tbl_projects[[#This Row],[CO 1
IE]],tbl_projects[[#This Row],[Orig Budget
IE]])</f>
        <v>0</v>
      </c>
      <c r="V7" s="3">
        <f>SUM(tbl_projects[[#This Row],[CO 6
EE]],tbl_projects[[#This Row],[CO 4
EE]],tbl_projects[[#This Row],[CO 3
EE]],tbl_projects[[#This Row],[CO 2
EE]],tbl_projects[[#This Row],[CO 1
EE]],tbl_projects[[#This Row],[Orig Budget
EE]])</f>
        <v>0</v>
      </c>
    </row>
    <row r="8" spans="1:22" x14ac:dyDescent="0.2">
      <c r="A8" s="3" t="s">
        <v>100</v>
      </c>
      <c r="B8" s="18" t="s">
        <v>123</v>
      </c>
      <c r="C8" s="1" t="s">
        <v>27</v>
      </c>
      <c r="D8" s="1" t="s">
        <v>84</v>
      </c>
      <c r="E8" s="1" t="s">
        <v>83</v>
      </c>
      <c r="F8" s="3" t="b">
        <v>0</v>
      </c>
      <c r="G8" s="3">
        <v>104</v>
      </c>
      <c r="H8" s="3">
        <v>0</v>
      </c>
      <c r="I8" s="3"/>
      <c r="J8" s="3"/>
      <c r="K8" s="3"/>
      <c r="L8" s="3"/>
      <c r="M8" s="3"/>
      <c r="N8" s="3"/>
      <c r="O8" s="3"/>
      <c r="P8" s="3"/>
      <c r="Q8" s="3"/>
      <c r="R8" s="3"/>
      <c r="S8" s="3"/>
      <c r="T8" s="3"/>
      <c r="U8" s="3">
        <f>SUM(tbl_projects[[#This Row],[CO 5
IE]],tbl_projects[[#This Row],[CO 4
IE]],tbl_projects[[#This Row],[CO 3
IE]],tbl_projects[[#This Row],[CO 2
IE]],tbl_projects[[#This Row],[CO 1
IE]],tbl_projects[[#This Row],[Orig Budget
IE]])</f>
        <v>104</v>
      </c>
      <c r="V8" s="3">
        <f>SUM(tbl_projects[[#This Row],[CO 6
EE]],tbl_projects[[#This Row],[CO 4
EE]],tbl_projects[[#This Row],[CO 3
EE]],tbl_projects[[#This Row],[CO 2
EE]],tbl_projects[[#This Row],[CO 1
EE]],tbl_projects[[#This Row],[Orig Budget
EE]])</f>
        <v>0</v>
      </c>
    </row>
    <row r="9" spans="1:22" x14ac:dyDescent="0.2">
      <c r="A9" s="3" t="s">
        <v>101</v>
      </c>
      <c r="B9" s="18" t="s">
        <v>124</v>
      </c>
      <c r="C9" s="1" t="s">
        <v>42</v>
      </c>
      <c r="D9" s="1" t="s">
        <v>84</v>
      </c>
      <c r="E9" s="1" t="s">
        <v>83</v>
      </c>
      <c r="F9" s="3" t="b">
        <v>0</v>
      </c>
      <c r="G9" s="3">
        <v>58</v>
      </c>
      <c r="H9" s="3">
        <v>0</v>
      </c>
      <c r="I9" s="3"/>
      <c r="J9" s="3"/>
      <c r="K9" s="3"/>
      <c r="L9" s="3"/>
      <c r="M9" s="3"/>
      <c r="N9" s="3"/>
      <c r="O9" s="3"/>
      <c r="P9" s="3"/>
      <c r="Q9" s="3"/>
      <c r="R9" s="3"/>
      <c r="S9" s="3"/>
      <c r="T9" s="3"/>
      <c r="U9" s="3">
        <f>SUM(tbl_projects[[#This Row],[CO 5
IE]],tbl_projects[[#This Row],[CO 4
IE]],tbl_projects[[#This Row],[CO 3
IE]],tbl_projects[[#This Row],[CO 2
IE]],tbl_projects[[#This Row],[CO 1
IE]],tbl_projects[[#This Row],[Orig Budget
IE]])</f>
        <v>58</v>
      </c>
      <c r="V9" s="3">
        <f>SUM(tbl_projects[[#This Row],[CO 6
EE]],tbl_projects[[#This Row],[CO 4
EE]],tbl_projects[[#This Row],[CO 3
EE]],tbl_projects[[#This Row],[CO 2
EE]],tbl_projects[[#This Row],[CO 1
EE]],tbl_projects[[#This Row],[Orig Budget
EE]])</f>
        <v>0</v>
      </c>
    </row>
    <row r="10" spans="1:22" x14ac:dyDescent="0.2">
      <c r="A10" s="3" t="s">
        <v>102</v>
      </c>
      <c r="B10" s="18" t="s">
        <v>125</v>
      </c>
      <c r="C10" s="1" t="s">
        <v>4</v>
      </c>
      <c r="D10" s="1" t="s">
        <v>84</v>
      </c>
      <c r="E10" s="1" t="s">
        <v>83</v>
      </c>
      <c r="F10" s="3" t="b">
        <v>0</v>
      </c>
      <c r="G10" s="3">
        <v>114</v>
      </c>
      <c r="H10" s="3">
        <v>0</v>
      </c>
      <c r="I10" s="3"/>
      <c r="J10" s="3">
        <v>14</v>
      </c>
      <c r="K10" s="3"/>
      <c r="L10" s="3"/>
      <c r="M10" s="3"/>
      <c r="N10" s="3"/>
      <c r="O10" s="3"/>
      <c r="P10" s="3"/>
      <c r="Q10" s="3"/>
      <c r="R10" s="3"/>
      <c r="S10" s="3"/>
      <c r="T10" s="3"/>
      <c r="U10" s="3">
        <f>SUM(tbl_projects[[#This Row],[CO 5
IE]],tbl_projects[[#This Row],[CO 4
IE]],tbl_projects[[#This Row],[CO 3
IE]],tbl_projects[[#This Row],[CO 2
IE]],tbl_projects[[#This Row],[CO 1
IE]],tbl_projects[[#This Row],[Orig Budget
IE]])</f>
        <v>128</v>
      </c>
      <c r="V10" s="3">
        <f>SUM(tbl_projects[[#This Row],[CO 6
EE]],tbl_projects[[#This Row],[CO 4
EE]],tbl_projects[[#This Row],[CO 3
EE]],tbl_projects[[#This Row],[CO 2
EE]],tbl_projects[[#This Row],[CO 1
EE]],tbl_projects[[#This Row],[Orig Budget
EE]])</f>
        <v>0</v>
      </c>
    </row>
    <row r="11" spans="1:22" x14ac:dyDescent="0.2">
      <c r="A11" s="3" t="s">
        <v>103</v>
      </c>
      <c r="B11" s="18" t="s">
        <v>139</v>
      </c>
      <c r="C11" s="1" t="s">
        <v>142</v>
      </c>
      <c r="D11" s="1" t="s">
        <v>84</v>
      </c>
      <c r="E11" s="1" t="s">
        <v>84</v>
      </c>
      <c r="F11" s="3" t="b">
        <v>1</v>
      </c>
      <c r="G11" s="3">
        <v>124</v>
      </c>
      <c r="H11" s="3">
        <v>88</v>
      </c>
      <c r="I11" s="3"/>
      <c r="J11" s="3"/>
      <c r="K11" s="3"/>
      <c r="L11" s="3"/>
      <c r="M11" s="3"/>
      <c r="N11" s="3"/>
      <c r="O11" s="3"/>
      <c r="P11" s="3"/>
      <c r="Q11" s="3"/>
      <c r="R11" s="3"/>
      <c r="S11" s="3"/>
      <c r="T11" s="3"/>
      <c r="U11" s="3">
        <f>SUM(tbl_projects[[#This Row],[CO 5
IE]],tbl_projects[[#This Row],[CO 4
IE]],tbl_projects[[#This Row],[CO 3
IE]],tbl_projects[[#This Row],[CO 2
IE]],tbl_projects[[#This Row],[CO 1
IE]],tbl_projects[[#This Row],[Orig Budget
IE]])</f>
        <v>124</v>
      </c>
      <c r="V11" s="3">
        <f>SUM(tbl_projects[[#This Row],[CO 6
EE]],tbl_projects[[#This Row],[CO 4
EE]],tbl_projects[[#This Row],[CO 3
EE]],tbl_projects[[#This Row],[CO 2
EE]],tbl_projects[[#This Row],[CO 1
EE]],tbl_projects[[#This Row],[Orig Budget
EE]])</f>
        <v>88</v>
      </c>
    </row>
    <row r="12" spans="1:22" x14ac:dyDescent="0.2">
      <c r="A12" s="3" t="s">
        <v>104</v>
      </c>
      <c r="B12" s="18" t="s">
        <v>126</v>
      </c>
      <c r="C12" s="1" t="s">
        <v>7</v>
      </c>
      <c r="D12" s="1" t="s">
        <v>84</v>
      </c>
      <c r="E12" s="1" t="s">
        <v>83</v>
      </c>
      <c r="F12" s="3" t="b">
        <v>0</v>
      </c>
      <c r="G12" s="3">
        <v>114</v>
      </c>
      <c r="H12" s="3">
        <v>0</v>
      </c>
      <c r="I12" s="3"/>
      <c r="J12" s="3">
        <v>14</v>
      </c>
      <c r="K12" s="3"/>
      <c r="L12" s="3"/>
      <c r="M12" s="3"/>
      <c r="N12" s="3"/>
      <c r="O12" s="3"/>
      <c r="P12" s="3"/>
      <c r="Q12" s="3"/>
      <c r="R12" s="3"/>
      <c r="S12" s="3"/>
      <c r="T12" s="3"/>
      <c r="U12" s="3">
        <f>SUM(tbl_projects[[#This Row],[CO 5
IE]],tbl_projects[[#This Row],[CO 4
IE]],tbl_projects[[#This Row],[CO 3
IE]],tbl_projects[[#This Row],[CO 2
IE]],tbl_projects[[#This Row],[CO 1
IE]],tbl_projects[[#This Row],[Orig Budget
IE]])</f>
        <v>128</v>
      </c>
      <c r="V12" s="3">
        <f>SUM(tbl_projects[[#This Row],[CO 6
EE]],tbl_projects[[#This Row],[CO 4
EE]],tbl_projects[[#This Row],[CO 3
EE]],tbl_projects[[#This Row],[CO 2
EE]],tbl_projects[[#This Row],[CO 1
EE]],tbl_projects[[#This Row],[Orig Budget
EE]])</f>
        <v>0</v>
      </c>
    </row>
    <row r="13" spans="1:22" x14ac:dyDescent="0.2">
      <c r="A13" s="3" t="s">
        <v>105</v>
      </c>
      <c r="B13" s="18" t="s">
        <v>140</v>
      </c>
      <c r="C13" s="1" t="s">
        <v>143</v>
      </c>
      <c r="D13" s="1" t="s">
        <v>84</v>
      </c>
      <c r="E13" s="1" t="s">
        <v>84</v>
      </c>
      <c r="F13" s="3" t="b">
        <v>1</v>
      </c>
      <c r="G13" s="3">
        <v>124</v>
      </c>
      <c r="H13" s="3">
        <v>88</v>
      </c>
      <c r="I13" s="3"/>
      <c r="J13" s="3"/>
      <c r="K13" s="3"/>
      <c r="L13" s="3"/>
      <c r="M13" s="3"/>
      <c r="N13" s="3"/>
      <c r="O13" s="3"/>
      <c r="P13" s="3"/>
      <c r="Q13" s="3"/>
      <c r="R13" s="3"/>
      <c r="S13" s="3"/>
      <c r="T13" s="3"/>
      <c r="U13" s="3">
        <f>SUM(tbl_projects[[#This Row],[CO 5
IE]],tbl_projects[[#This Row],[CO 4
IE]],tbl_projects[[#This Row],[CO 3
IE]],tbl_projects[[#This Row],[CO 2
IE]],tbl_projects[[#This Row],[CO 1
IE]],tbl_projects[[#This Row],[Orig Budget
IE]])</f>
        <v>124</v>
      </c>
      <c r="V13" s="3">
        <f>SUM(tbl_projects[[#This Row],[CO 6
EE]],tbl_projects[[#This Row],[CO 4
EE]],tbl_projects[[#This Row],[CO 3
EE]],tbl_projects[[#This Row],[CO 2
EE]],tbl_projects[[#This Row],[CO 1
EE]],tbl_projects[[#This Row],[Orig Budget
EE]])</f>
        <v>88</v>
      </c>
    </row>
    <row r="14" spans="1:22" x14ac:dyDescent="0.2">
      <c r="A14" s="3" t="s">
        <v>106</v>
      </c>
      <c r="B14" s="18" t="s">
        <v>141</v>
      </c>
      <c r="C14" s="1" t="s">
        <v>144</v>
      </c>
      <c r="D14" s="1" t="s">
        <v>84</v>
      </c>
      <c r="E14" s="1" t="s">
        <v>84</v>
      </c>
      <c r="F14" s="3" t="b">
        <v>0</v>
      </c>
      <c r="G14" s="3">
        <v>98</v>
      </c>
      <c r="H14" s="3">
        <v>0</v>
      </c>
      <c r="I14" s="3"/>
      <c r="J14" s="3"/>
      <c r="K14" s="3"/>
      <c r="L14" s="3"/>
      <c r="M14" s="3"/>
      <c r="N14" s="3"/>
      <c r="O14" s="3"/>
      <c r="P14" s="3"/>
      <c r="Q14" s="3"/>
      <c r="R14" s="3"/>
      <c r="S14" s="3"/>
      <c r="T14" s="3"/>
      <c r="U14" s="8">
        <f>SUM(tbl_projects[[#This Row],[CO 5
IE]],tbl_projects[[#This Row],[CO 4
IE]],tbl_projects[[#This Row],[CO 3
IE]],tbl_projects[[#This Row],[CO 2
IE]],tbl_projects[[#This Row],[CO 1
IE]],tbl_projects[[#This Row],[Orig Budget
IE]])</f>
        <v>98</v>
      </c>
      <c r="V14" s="8">
        <f>SUM(tbl_projects[[#This Row],[CO 6
EE]],tbl_projects[[#This Row],[CO 4
EE]],tbl_projects[[#This Row],[CO 3
EE]],tbl_projects[[#This Row],[CO 2
EE]],tbl_projects[[#This Row],[CO 1
EE]],tbl_projects[[#This Row],[Orig Budget
EE]])</f>
        <v>0</v>
      </c>
    </row>
    <row r="15" spans="1:22" x14ac:dyDescent="0.2">
      <c r="A15" s="3" t="s">
        <v>107</v>
      </c>
      <c r="B15" s="18" t="s">
        <v>127</v>
      </c>
      <c r="C15" s="1" t="s">
        <v>80</v>
      </c>
      <c r="D15" s="1" t="s">
        <v>84</v>
      </c>
      <c r="E15" s="1" t="s">
        <v>83</v>
      </c>
      <c r="F15" s="3" t="b">
        <v>1</v>
      </c>
      <c r="G15" s="3">
        <v>106</v>
      </c>
      <c r="H15" s="3">
        <v>85</v>
      </c>
      <c r="I15" s="3"/>
      <c r="J15" s="3"/>
      <c r="K15" s="3"/>
      <c r="L15" s="3"/>
      <c r="M15" s="3"/>
      <c r="N15" s="3"/>
      <c r="O15" s="3"/>
      <c r="P15" s="3"/>
      <c r="Q15" s="3"/>
      <c r="R15" s="3"/>
      <c r="S15" s="3"/>
      <c r="T15" s="3"/>
      <c r="U15" s="8">
        <f>SUM(tbl_projects[[#This Row],[CO 5
IE]],tbl_projects[[#This Row],[CO 4
IE]],tbl_projects[[#This Row],[CO 3
IE]],tbl_projects[[#This Row],[CO 2
IE]],tbl_projects[[#This Row],[CO 1
IE]],tbl_projects[[#This Row],[Orig Budget
IE]])</f>
        <v>106</v>
      </c>
      <c r="V15" s="8">
        <f>SUM(tbl_projects[[#This Row],[CO 6
EE]],tbl_projects[[#This Row],[CO 4
EE]],tbl_projects[[#This Row],[CO 3
EE]],tbl_projects[[#This Row],[CO 2
EE]],tbl_projects[[#This Row],[CO 1
EE]],tbl_projects[[#This Row],[Orig Budget
EE]])</f>
        <v>85</v>
      </c>
    </row>
    <row r="16" spans="1:22" x14ac:dyDescent="0.2">
      <c r="A16" s="3" t="s">
        <v>108</v>
      </c>
      <c r="B16" s="18" t="s">
        <v>128</v>
      </c>
      <c r="C16" s="1" t="s">
        <v>43</v>
      </c>
      <c r="D16" s="1" t="s">
        <v>84</v>
      </c>
      <c r="E16" s="1" t="s">
        <v>83</v>
      </c>
      <c r="F16" s="3" t="b">
        <v>0</v>
      </c>
      <c r="G16" s="3">
        <v>33</v>
      </c>
      <c r="H16" s="3">
        <v>14</v>
      </c>
      <c r="I16" s="3"/>
      <c r="J16" s="3"/>
      <c r="K16" s="3"/>
      <c r="L16" s="3"/>
      <c r="M16" s="3"/>
      <c r="N16" s="3"/>
      <c r="O16" s="3"/>
      <c r="P16" s="3"/>
      <c r="Q16" s="3"/>
      <c r="R16" s="3"/>
      <c r="S16" s="3"/>
      <c r="T16" s="3"/>
      <c r="U16" s="3">
        <f>SUM(tbl_projects[[#This Row],[CO 5
IE]],tbl_projects[[#This Row],[CO 4
IE]],tbl_projects[[#This Row],[CO 3
IE]],tbl_projects[[#This Row],[CO 2
IE]],tbl_projects[[#This Row],[CO 1
IE]],tbl_projects[[#This Row],[Orig Budget
IE]])</f>
        <v>33</v>
      </c>
      <c r="V16" s="3">
        <f>SUM(tbl_projects[[#This Row],[CO 6
EE]],tbl_projects[[#This Row],[CO 4
EE]],tbl_projects[[#This Row],[CO 3
EE]],tbl_projects[[#This Row],[CO 2
EE]],tbl_projects[[#This Row],[CO 1
EE]],tbl_projects[[#This Row],[Orig Budget
EE]])</f>
        <v>14</v>
      </c>
    </row>
    <row r="17" spans="1:27" x14ac:dyDescent="0.2">
      <c r="A17" s="3" t="s">
        <v>109</v>
      </c>
      <c r="B17" s="18" t="s">
        <v>129</v>
      </c>
      <c r="C17" s="1" t="s">
        <v>17</v>
      </c>
      <c r="D17" s="1" t="s">
        <v>84</v>
      </c>
      <c r="E17" s="1" t="s">
        <v>83</v>
      </c>
      <c r="F17" s="3" t="b">
        <v>0</v>
      </c>
      <c r="G17" s="3">
        <v>76</v>
      </c>
      <c r="H17" s="3">
        <v>77</v>
      </c>
      <c r="I17" s="3"/>
      <c r="J17" s="3"/>
      <c r="K17" s="3"/>
      <c r="L17" s="3"/>
      <c r="M17" s="3"/>
      <c r="N17" s="3"/>
      <c r="O17" s="3"/>
      <c r="P17" s="3"/>
      <c r="Q17" s="3"/>
      <c r="R17" s="3"/>
      <c r="S17" s="3"/>
      <c r="T17" s="3"/>
      <c r="U17" s="3">
        <f>SUM(tbl_projects[[#This Row],[CO 5
IE]],tbl_projects[[#This Row],[CO 4
IE]],tbl_projects[[#This Row],[CO 3
IE]],tbl_projects[[#This Row],[CO 2
IE]],tbl_projects[[#This Row],[CO 1
IE]],tbl_projects[[#This Row],[Orig Budget
IE]])</f>
        <v>76</v>
      </c>
      <c r="V17" s="3">
        <f>SUM(tbl_projects[[#This Row],[CO 6
EE]],tbl_projects[[#This Row],[CO 4
EE]],tbl_projects[[#This Row],[CO 3
EE]],tbl_projects[[#This Row],[CO 2
EE]],tbl_projects[[#This Row],[CO 1
EE]],tbl_projects[[#This Row],[Orig Budget
EE]])</f>
        <v>77</v>
      </c>
    </row>
    <row r="18" spans="1:27" x14ac:dyDescent="0.2">
      <c r="A18" s="3" t="s">
        <v>110</v>
      </c>
      <c r="B18" s="18" t="s">
        <v>130</v>
      </c>
      <c r="C18" s="1" t="s">
        <v>48</v>
      </c>
      <c r="D18" s="1" t="s">
        <v>84</v>
      </c>
      <c r="E18" s="1" t="s">
        <v>83</v>
      </c>
      <c r="F18" s="3" t="b">
        <v>0</v>
      </c>
      <c r="G18" s="3">
        <v>30</v>
      </c>
      <c r="H18" s="3">
        <v>0</v>
      </c>
      <c r="I18" s="3"/>
      <c r="J18" s="3"/>
      <c r="K18" s="3"/>
      <c r="L18" s="3"/>
      <c r="M18" s="3"/>
      <c r="N18" s="3"/>
      <c r="O18" s="3"/>
      <c r="P18" s="3"/>
      <c r="Q18" s="3"/>
      <c r="R18" s="3"/>
      <c r="S18" s="3"/>
      <c r="T18" s="3"/>
      <c r="U18" s="3">
        <f>SUM(tbl_projects[[#This Row],[CO 5
IE]],tbl_projects[[#This Row],[CO 4
IE]],tbl_projects[[#This Row],[CO 3
IE]],tbl_projects[[#This Row],[CO 2
IE]],tbl_projects[[#This Row],[CO 1
IE]],tbl_projects[[#This Row],[Orig Budget
IE]])</f>
        <v>30</v>
      </c>
      <c r="V18" s="3">
        <f>SUM(tbl_projects[[#This Row],[CO 6
EE]],tbl_projects[[#This Row],[CO 4
EE]],tbl_projects[[#This Row],[CO 3
EE]],tbl_projects[[#This Row],[CO 2
EE]],tbl_projects[[#This Row],[CO 1
EE]],tbl_projects[[#This Row],[Orig Budget
EE]])</f>
        <v>0</v>
      </c>
    </row>
    <row r="19" spans="1:27" x14ac:dyDescent="0.2">
      <c r="A19" s="3" t="s">
        <v>111</v>
      </c>
      <c r="B19" s="18" t="s">
        <v>131</v>
      </c>
      <c r="C19" s="1" t="s">
        <v>46</v>
      </c>
      <c r="D19" s="1" t="s">
        <v>84</v>
      </c>
      <c r="E19" s="1" t="s">
        <v>83</v>
      </c>
      <c r="F19" s="3" t="b">
        <v>1</v>
      </c>
      <c r="G19" s="3">
        <v>50</v>
      </c>
      <c r="H19" s="3">
        <v>9</v>
      </c>
      <c r="I19" s="3"/>
      <c r="J19" s="3"/>
      <c r="K19" s="3"/>
      <c r="L19" s="3"/>
      <c r="M19" s="3"/>
      <c r="N19" s="3"/>
      <c r="O19" s="3"/>
      <c r="P19" s="3"/>
      <c r="Q19" s="3"/>
      <c r="R19" s="3"/>
      <c r="S19" s="3"/>
      <c r="T19" s="3"/>
      <c r="U19" s="3">
        <f>SUM(tbl_projects[[#This Row],[CO 5
IE]],tbl_projects[[#This Row],[CO 4
IE]],tbl_projects[[#This Row],[CO 3
IE]],tbl_projects[[#This Row],[CO 2
IE]],tbl_projects[[#This Row],[CO 1
IE]],tbl_projects[[#This Row],[Orig Budget
IE]])</f>
        <v>50</v>
      </c>
      <c r="V19" s="3">
        <f>SUM(tbl_projects[[#This Row],[CO 6
EE]],tbl_projects[[#This Row],[CO 4
EE]],tbl_projects[[#This Row],[CO 3
EE]],tbl_projects[[#This Row],[CO 2
EE]],tbl_projects[[#This Row],[CO 1
EE]],tbl_projects[[#This Row],[Orig Budget
EE]])</f>
        <v>9</v>
      </c>
    </row>
    <row r="20" spans="1:27" x14ac:dyDescent="0.2">
      <c r="A20" s="3" t="s">
        <v>112</v>
      </c>
      <c r="B20" s="18" t="s">
        <v>132</v>
      </c>
      <c r="C20" s="1" t="s">
        <v>25</v>
      </c>
      <c r="D20" s="1" t="s">
        <v>84</v>
      </c>
      <c r="E20" s="1" t="s">
        <v>83</v>
      </c>
      <c r="F20" s="3" t="b">
        <v>0</v>
      </c>
      <c r="G20" s="3">
        <v>46</v>
      </c>
      <c r="H20" s="3">
        <v>0</v>
      </c>
      <c r="I20" s="3"/>
      <c r="J20" s="3"/>
      <c r="K20" s="3"/>
      <c r="L20" s="3"/>
      <c r="M20" s="3"/>
      <c r="N20" s="3"/>
      <c r="O20" s="3"/>
      <c r="P20" s="3"/>
      <c r="Q20" s="3"/>
      <c r="R20" s="3"/>
      <c r="S20" s="3"/>
      <c r="T20" s="3"/>
      <c r="U20" s="3">
        <f>SUM(tbl_projects[[#This Row],[CO 5
IE]],tbl_projects[[#This Row],[CO 4
IE]],tbl_projects[[#This Row],[CO 3
IE]],tbl_projects[[#This Row],[CO 2
IE]],tbl_projects[[#This Row],[CO 1
IE]],tbl_projects[[#This Row],[Orig Budget
IE]])</f>
        <v>46</v>
      </c>
      <c r="V20" s="3">
        <f>SUM(tbl_projects[[#This Row],[CO 6
EE]],tbl_projects[[#This Row],[CO 4
EE]],tbl_projects[[#This Row],[CO 3
EE]],tbl_projects[[#This Row],[CO 2
EE]],tbl_projects[[#This Row],[CO 1
EE]],tbl_projects[[#This Row],[Orig Budget
EE]])</f>
        <v>0</v>
      </c>
    </row>
    <row r="21" spans="1:27" x14ac:dyDescent="0.2">
      <c r="A21" s="3" t="s">
        <v>113</v>
      </c>
      <c r="B21" s="18" t="s">
        <v>133</v>
      </c>
      <c r="C21" s="1" t="s">
        <v>19</v>
      </c>
      <c r="D21" s="1" t="s">
        <v>84</v>
      </c>
      <c r="E21" s="1" t="s">
        <v>83</v>
      </c>
      <c r="F21" s="3" t="b">
        <v>0</v>
      </c>
      <c r="G21" s="3">
        <v>53</v>
      </c>
      <c r="H21" s="3">
        <v>20</v>
      </c>
      <c r="I21" s="3"/>
      <c r="J21" s="3"/>
      <c r="K21" s="3"/>
      <c r="L21" s="3"/>
      <c r="M21" s="3"/>
      <c r="N21" s="3"/>
      <c r="O21" s="3"/>
      <c r="P21" s="3"/>
      <c r="Q21" s="3"/>
      <c r="R21" s="3"/>
      <c r="S21" s="3"/>
      <c r="T21" s="3"/>
      <c r="U21" s="3">
        <f>SUM(tbl_projects[[#This Row],[CO 5
IE]],tbl_projects[[#This Row],[CO 4
IE]],tbl_projects[[#This Row],[CO 3
IE]],tbl_projects[[#This Row],[CO 2
IE]],tbl_projects[[#This Row],[CO 1
IE]],tbl_projects[[#This Row],[Orig Budget
IE]])</f>
        <v>53</v>
      </c>
      <c r="V21" s="3">
        <f>SUM(tbl_projects[[#This Row],[CO 6
EE]],tbl_projects[[#This Row],[CO 4
EE]],tbl_projects[[#This Row],[CO 3
EE]],tbl_projects[[#This Row],[CO 2
EE]],tbl_projects[[#This Row],[CO 1
EE]],tbl_projects[[#This Row],[Orig Budget
EE]])</f>
        <v>20</v>
      </c>
    </row>
    <row r="22" spans="1:27" x14ac:dyDescent="0.2">
      <c r="A22" s="3" t="s">
        <v>114</v>
      </c>
      <c r="B22" s="18" t="s">
        <v>134</v>
      </c>
      <c r="C22" s="1" t="s">
        <v>29</v>
      </c>
      <c r="D22" s="1" t="s">
        <v>84</v>
      </c>
      <c r="E22" s="1" t="s">
        <v>83</v>
      </c>
      <c r="F22" s="3" t="b">
        <v>1</v>
      </c>
      <c r="G22" s="3">
        <v>35</v>
      </c>
      <c r="H22" s="3">
        <v>5</v>
      </c>
      <c r="I22" s="3" t="s">
        <v>64</v>
      </c>
      <c r="J22" s="3">
        <v>59</v>
      </c>
      <c r="K22" s="3">
        <v>14</v>
      </c>
      <c r="L22" s="3"/>
      <c r="M22" s="3"/>
      <c r="N22" s="3"/>
      <c r="O22" s="3"/>
      <c r="P22" s="3"/>
      <c r="Q22" s="3"/>
      <c r="R22" s="3"/>
      <c r="S22" s="3"/>
      <c r="T22" s="3"/>
      <c r="U22" s="3">
        <f>SUM(tbl_projects[[#This Row],[CO 5
IE]],tbl_projects[[#This Row],[CO 4
IE]],tbl_projects[[#This Row],[CO 3
IE]],tbl_projects[[#This Row],[CO 2
IE]],tbl_projects[[#This Row],[CO 1
IE]],tbl_projects[[#This Row],[Orig Budget
IE]])</f>
        <v>94</v>
      </c>
      <c r="V22" s="3">
        <f>SUM(tbl_projects[[#This Row],[CO 6
EE]],tbl_projects[[#This Row],[CO 4
EE]],tbl_projects[[#This Row],[CO 3
EE]],tbl_projects[[#This Row],[CO 2
EE]],tbl_projects[[#This Row],[CO 1
EE]],tbl_projects[[#This Row],[Orig Budget
EE]])</f>
        <v>19</v>
      </c>
    </row>
    <row r="23" spans="1:27" x14ac:dyDescent="0.2">
      <c r="A23" s="3">
        <v>18000001</v>
      </c>
      <c r="B23" s="18" t="s">
        <v>135</v>
      </c>
      <c r="C23" s="1" t="s">
        <v>145</v>
      </c>
      <c r="F23" s="3" t="b">
        <v>0</v>
      </c>
      <c r="G23" s="3"/>
      <c r="H23" s="3"/>
      <c r="I23" s="3"/>
      <c r="J23" s="3"/>
      <c r="K23" s="3"/>
      <c r="L23" s="3"/>
      <c r="M23" s="3"/>
      <c r="N23" s="3"/>
      <c r="O23" s="3"/>
      <c r="P23" s="3"/>
      <c r="Q23" s="3"/>
      <c r="R23" s="3"/>
      <c r="S23" s="3"/>
      <c r="T23" s="3"/>
      <c r="U23" s="8">
        <f>SUM(tbl_projects[[#This Row],[CO 5
IE]],tbl_projects[[#This Row],[CO 4
IE]],tbl_projects[[#This Row],[CO 3
IE]],tbl_projects[[#This Row],[CO 2
IE]],tbl_projects[[#This Row],[CO 1
IE]],tbl_projects[[#This Row],[Orig Budget
IE]])</f>
        <v>0</v>
      </c>
      <c r="V23" s="8">
        <f>SUM(tbl_projects[[#This Row],[CO 6
EE]],tbl_projects[[#This Row],[CO 4
EE]],tbl_projects[[#This Row],[CO 3
EE]],tbl_projects[[#This Row],[CO 2
EE]],tbl_projects[[#This Row],[CO 1
EE]],tbl_projects[[#This Row],[Orig Budget
EE]])</f>
        <v>0</v>
      </c>
      <c r="Y23" s="28"/>
      <c r="AA23" s="29"/>
    </row>
    <row r="24" spans="1:27" x14ac:dyDescent="0.2">
      <c r="A24" s="3">
        <v>18200006</v>
      </c>
      <c r="B24" s="18" t="s">
        <v>136</v>
      </c>
      <c r="C24" s="1" t="s">
        <v>146</v>
      </c>
      <c r="F24" s="3" t="b">
        <v>1</v>
      </c>
      <c r="G24" s="3"/>
      <c r="H24" s="3"/>
      <c r="I24" s="3"/>
      <c r="J24" s="3"/>
      <c r="K24" s="3"/>
      <c r="L24" s="3"/>
      <c r="M24" s="3"/>
      <c r="N24" s="3"/>
      <c r="O24" s="3"/>
      <c r="P24" s="3"/>
      <c r="Q24" s="3"/>
      <c r="R24" s="3"/>
      <c r="S24" s="3"/>
      <c r="T24" s="3"/>
      <c r="U24" s="8">
        <f>SUM(tbl_projects[[#This Row],[CO 5
IE]],tbl_projects[[#This Row],[CO 4
IE]],tbl_projects[[#This Row],[CO 3
IE]],tbl_projects[[#This Row],[CO 2
IE]],tbl_projects[[#This Row],[CO 1
IE]],tbl_projects[[#This Row],[Orig Budget
IE]])</f>
        <v>0</v>
      </c>
      <c r="V24" s="8">
        <f>SUM(tbl_projects[[#This Row],[CO 6
EE]],tbl_projects[[#This Row],[CO 4
EE]],tbl_projects[[#This Row],[CO 3
EE]],tbl_projects[[#This Row],[CO 2
EE]],tbl_projects[[#This Row],[CO 1
EE]],tbl_projects[[#This Row],[Orig Budget
EE]])</f>
        <v>0</v>
      </c>
      <c r="Y24" s="28"/>
    </row>
    <row r="25" spans="1:27" x14ac:dyDescent="0.2">
      <c r="A25" s="3">
        <v>18200009</v>
      </c>
      <c r="B25" s="18" t="s">
        <v>137</v>
      </c>
      <c r="C25" s="1" t="s">
        <v>147</v>
      </c>
      <c r="F25" s="3" t="b">
        <v>0</v>
      </c>
      <c r="G25" s="3"/>
      <c r="H25" s="3"/>
      <c r="I25" s="3"/>
      <c r="J25" s="3"/>
      <c r="K25" s="3"/>
      <c r="L25" s="3"/>
      <c r="M25" s="3"/>
      <c r="N25" s="3"/>
      <c r="O25" s="3"/>
      <c r="P25" s="3"/>
      <c r="Q25" s="3"/>
      <c r="R25" s="3"/>
      <c r="S25" s="3"/>
      <c r="T25" s="3"/>
      <c r="U25" s="8">
        <f>SUM(tbl_projects[[#This Row],[CO 5
IE]],tbl_projects[[#This Row],[CO 4
IE]],tbl_projects[[#This Row],[CO 3
IE]],tbl_projects[[#This Row],[CO 2
IE]],tbl_projects[[#This Row],[CO 1
IE]],tbl_projects[[#This Row],[Orig Budget
IE]])</f>
        <v>0</v>
      </c>
      <c r="V25" s="8">
        <f>SUM(tbl_projects[[#This Row],[CO 6
EE]],tbl_projects[[#This Row],[CO 4
EE]],tbl_projects[[#This Row],[CO 3
EE]],tbl_projects[[#This Row],[CO 2
EE]],tbl_projects[[#This Row],[CO 1
EE]],tbl_projects[[#This Row],[Orig Budget
EE]])</f>
        <v>0</v>
      </c>
    </row>
    <row r="26" spans="1:27" x14ac:dyDescent="0.2">
      <c r="A26" s="3">
        <v>18261114</v>
      </c>
      <c r="B26" s="18" t="s">
        <v>138</v>
      </c>
      <c r="C26" s="1" t="s">
        <v>148</v>
      </c>
      <c r="F26" s="3" t="b">
        <v>0</v>
      </c>
      <c r="G26" s="3"/>
      <c r="H26" s="3"/>
      <c r="I26" s="3"/>
      <c r="J26" s="3"/>
      <c r="K26" s="3"/>
      <c r="L26" s="3"/>
      <c r="M26" s="3"/>
      <c r="N26" s="3"/>
      <c r="O26" s="3"/>
      <c r="P26" s="3"/>
      <c r="Q26" s="3"/>
      <c r="R26" s="3"/>
      <c r="S26" s="3"/>
      <c r="T26" s="3"/>
      <c r="U26" s="8">
        <f>SUM(tbl_projects[[#This Row],[CO 5
IE]],tbl_projects[[#This Row],[CO 4
IE]],tbl_projects[[#This Row],[CO 3
IE]],tbl_projects[[#This Row],[CO 2
IE]],tbl_projects[[#This Row],[CO 1
IE]],tbl_projects[[#This Row],[Orig Budget
IE]])</f>
        <v>0</v>
      </c>
      <c r="V26" s="8">
        <f>SUM(tbl_projects[[#This Row],[CO 6
EE]],tbl_projects[[#This Row],[CO 4
EE]],tbl_projects[[#This Row],[CO 3
EE]],tbl_projects[[#This Row],[CO 2
EE]],tbl_projects[[#This Row],[CO 1
EE]],tbl_projects[[#This Row],[Orig Budget
EE]])</f>
        <v>0</v>
      </c>
    </row>
    <row r="27" spans="1:27" x14ac:dyDescent="0.2">
      <c r="A27" s="3">
        <v>18234026</v>
      </c>
      <c r="B27" s="18" t="s">
        <v>149</v>
      </c>
      <c r="C27" s="1" t="s">
        <v>150</v>
      </c>
      <c r="D27" s="1" t="s">
        <v>84</v>
      </c>
      <c r="E27" s="1" t="s">
        <v>84</v>
      </c>
      <c r="F27" s="3" t="b">
        <v>1</v>
      </c>
      <c r="G27" s="3">
        <v>124</v>
      </c>
      <c r="H27" s="3">
        <v>88</v>
      </c>
      <c r="I27" s="3"/>
      <c r="J27" s="3"/>
      <c r="K27" s="3"/>
      <c r="L27" s="3"/>
      <c r="M27" s="3"/>
      <c r="N27" s="3"/>
      <c r="O27" s="3"/>
      <c r="P27" s="3"/>
      <c r="Q27" s="3"/>
      <c r="R27" s="3"/>
      <c r="S27" s="3"/>
      <c r="T27" s="3"/>
      <c r="U27" s="8">
        <f>SUM(tbl_projects[[#This Row],[CO 5
IE]],tbl_projects[[#This Row],[CO 4
IE]],tbl_projects[[#This Row],[CO 3
IE]],tbl_projects[[#This Row],[CO 2
IE]],tbl_projects[[#This Row],[CO 1
IE]],tbl_projects[[#This Row],[Orig Budget
IE]])</f>
        <v>124</v>
      </c>
      <c r="V27" s="8">
        <f>SUM(tbl_projects[[#This Row],[CO 6
EE]],tbl_projects[[#This Row],[CO 4
EE]],tbl_projects[[#This Row],[CO 3
EE]],tbl_projects[[#This Row],[CO 2
EE]],tbl_projects[[#This Row],[CO 1
EE]],tbl_projects[[#This Row],[Orig Budget
EE]])</f>
        <v>88</v>
      </c>
    </row>
    <row r="28" spans="1:27" x14ac:dyDescent="0.2">
      <c r="A28" s="3">
        <v>18234027</v>
      </c>
      <c r="B28" s="18" t="s">
        <v>151</v>
      </c>
      <c r="C28" s="1" t="s">
        <v>152</v>
      </c>
      <c r="D28" s="1" t="s">
        <v>84</v>
      </c>
      <c r="E28" s="1" t="s">
        <v>84</v>
      </c>
      <c r="F28" s="3" t="b">
        <v>1</v>
      </c>
      <c r="G28" s="3">
        <v>124</v>
      </c>
      <c r="H28" s="3">
        <v>88</v>
      </c>
      <c r="I28" s="3"/>
      <c r="J28" s="3"/>
      <c r="K28" s="3"/>
      <c r="L28" s="3"/>
      <c r="M28" s="3"/>
      <c r="N28" s="3"/>
      <c r="O28" s="3"/>
      <c r="P28" s="3"/>
      <c r="Q28" s="3"/>
      <c r="R28" s="3"/>
      <c r="S28" s="3"/>
      <c r="T28" s="3"/>
      <c r="U28" s="8">
        <f>SUM(tbl_projects[[#This Row],[CO 5
IE]],tbl_projects[[#This Row],[CO 4
IE]],tbl_projects[[#This Row],[CO 3
IE]],tbl_projects[[#This Row],[CO 2
IE]],tbl_projects[[#This Row],[CO 1
IE]],tbl_projects[[#This Row],[Orig Budget
IE]])</f>
        <v>124</v>
      </c>
      <c r="V28" s="8">
        <f>SUM(tbl_projects[[#This Row],[CO 6
EE]],tbl_projects[[#This Row],[CO 4
EE]],tbl_projects[[#This Row],[CO 3
EE]],tbl_projects[[#This Row],[CO 2
EE]],tbl_projects[[#This Row],[CO 1
EE]],tbl_projects[[#This Row],[Orig Budget
EE]])</f>
        <v>88</v>
      </c>
    </row>
    <row r="29" spans="1:27" x14ac:dyDescent="0.2">
      <c r="A29" s="22">
        <v>18281020</v>
      </c>
      <c r="B29" s="23" t="s">
        <v>154</v>
      </c>
      <c r="C29" s="21" t="s">
        <v>155</v>
      </c>
      <c r="D29" s="21"/>
      <c r="E29" s="21"/>
      <c r="F29" s="22" t="b">
        <v>1</v>
      </c>
      <c r="G29" s="22"/>
      <c r="H29" s="22"/>
      <c r="I29" s="22"/>
      <c r="J29" s="22"/>
      <c r="K29" s="22"/>
      <c r="L29" s="22"/>
      <c r="M29" s="22"/>
      <c r="N29" s="22"/>
      <c r="O29" s="22"/>
      <c r="P29" s="22"/>
      <c r="Q29" s="22"/>
      <c r="R29" s="22"/>
      <c r="S29" s="22"/>
      <c r="T29" s="22"/>
      <c r="U29" s="20">
        <f>SUM(tbl_projects[[#This Row],[CO 5
IE]],tbl_projects[[#This Row],[CO 4
IE]],tbl_projects[[#This Row],[CO 3
IE]],tbl_projects[[#This Row],[CO 2
IE]],tbl_projects[[#This Row],[CO 1
IE]],tbl_projects[[#This Row],[Orig Budget
IE]])</f>
        <v>0</v>
      </c>
      <c r="V29" s="20">
        <f>SUM(tbl_projects[[#This Row],[CO 6
EE]],tbl_projects[[#This Row],[CO 4
EE]],tbl_projects[[#This Row],[CO 3
EE]],tbl_projects[[#This Row],[CO 2
EE]],tbl_projects[[#This Row],[CO 1
EE]],tbl_projects[[#This Row],[Orig Budget
EE]])</f>
        <v>0</v>
      </c>
    </row>
    <row r="30" spans="1:27" x14ac:dyDescent="0.2">
      <c r="A30" s="22">
        <v>18281049</v>
      </c>
      <c r="B30" s="23" t="s">
        <v>156</v>
      </c>
      <c r="C30" s="21" t="s">
        <v>157</v>
      </c>
      <c r="D30" s="21"/>
      <c r="E30" s="21"/>
      <c r="F30" s="22" t="b">
        <v>1</v>
      </c>
      <c r="G30" s="22">
        <v>47</v>
      </c>
      <c r="H30" s="22"/>
      <c r="I30" s="22"/>
      <c r="J30" s="22"/>
      <c r="K30" s="22"/>
      <c r="L30" s="22"/>
      <c r="M30" s="22"/>
      <c r="N30" s="22"/>
      <c r="O30" s="22"/>
      <c r="P30" s="22"/>
      <c r="Q30" s="22"/>
      <c r="R30" s="22"/>
      <c r="S30" s="22"/>
      <c r="T30" s="22"/>
      <c r="U30" s="20">
        <f>SUM(tbl_projects[[#This Row],[CO 5
IE]],tbl_projects[[#This Row],[CO 4
IE]],tbl_projects[[#This Row],[CO 3
IE]],tbl_projects[[#This Row],[CO 2
IE]],tbl_projects[[#This Row],[CO 1
IE]],tbl_projects[[#This Row],[Orig Budget
IE]])</f>
        <v>47</v>
      </c>
      <c r="V30" s="20">
        <f>SUM(tbl_projects[[#This Row],[CO 6
EE]],tbl_projects[[#This Row],[CO 4
EE]],tbl_projects[[#This Row],[CO 3
EE]],tbl_projects[[#This Row],[CO 2
EE]],tbl_projects[[#This Row],[CO 1
EE]],tbl_projects[[#This Row],[Orig Budget
EE]])</f>
        <v>0</v>
      </c>
    </row>
    <row r="31" spans="1:27" x14ac:dyDescent="0.2">
      <c r="A31" s="22">
        <v>18261112</v>
      </c>
      <c r="B31" s="23" t="s">
        <v>158</v>
      </c>
      <c r="C31" s="21" t="s">
        <v>159</v>
      </c>
      <c r="D31" s="21" t="s">
        <v>84</v>
      </c>
      <c r="E31" s="21" t="s">
        <v>83</v>
      </c>
      <c r="F31" s="22" t="b">
        <v>1</v>
      </c>
      <c r="G31" s="22">
        <v>12</v>
      </c>
      <c r="H31" s="22">
        <v>0</v>
      </c>
      <c r="I31" s="22"/>
      <c r="J31" s="22"/>
      <c r="K31" s="22"/>
      <c r="L31" s="22"/>
      <c r="M31" s="22"/>
      <c r="N31" s="22"/>
      <c r="O31" s="22"/>
      <c r="P31" s="22"/>
      <c r="Q31" s="22"/>
      <c r="R31" s="22"/>
      <c r="S31" s="22"/>
      <c r="T31" s="22"/>
      <c r="U31" s="20">
        <f>SUM(tbl_projects[[#This Row],[CO 5
IE]],tbl_projects[[#This Row],[CO 4
IE]],tbl_projects[[#This Row],[CO 3
IE]],tbl_projects[[#This Row],[CO 2
IE]],tbl_projects[[#This Row],[CO 1
IE]],tbl_projects[[#This Row],[Orig Budget
IE]])</f>
        <v>12</v>
      </c>
      <c r="V31" s="20">
        <f>SUM(tbl_projects[[#This Row],[CO 6
EE]],tbl_projects[[#This Row],[CO 4
EE]],tbl_projects[[#This Row],[CO 3
EE]],tbl_projects[[#This Row],[CO 2
EE]],tbl_projects[[#This Row],[CO 1
EE]],tbl_projects[[#This Row],[Orig Budget
EE]])</f>
        <v>0</v>
      </c>
    </row>
    <row r="32" spans="1:27" x14ac:dyDescent="0.2">
      <c r="A32" s="3">
        <v>18234032</v>
      </c>
      <c r="B32" s="18" t="s">
        <v>161</v>
      </c>
      <c r="C32" s="1" t="s">
        <v>162</v>
      </c>
      <c r="D32" s="1" t="s">
        <v>84</v>
      </c>
      <c r="F32" s="3" t="b">
        <v>1</v>
      </c>
      <c r="G32" s="3">
        <v>98</v>
      </c>
      <c r="H32" s="3">
        <v>0</v>
      </c>
      <c r="I32" s="3"/>
      <c r="J32" s="3"/>
      <c r="K32" s="3"/>
      <c r="L32" s="3"/>
      <c r="M32" s="3"/>
      <c r="N32" s="3"/>
      <c r="O32" s="3"/>
      <c r="P32" s="3"/>
      <c r="Q32" s="3"/>
      <c r="R32" s="3"/>
      <c r="S32" s="3"/>
      <c r="T32" s="3"/>
      <c r="U32" s="8">
        <f>SUM(tbl_projects[[#This Row],[CO 5
IE]],tbl_projects[[#This Row],[CO 4
IE]],tbl_projects[[#This Row],[CO 3
IE]],tbl_projects[[#This Row],[CO 2
IE]],tbl_projects[[#This Row],[CO 1
IE]],tbl_projects[[#This Row],[Orig Budget
IE]])</f>
        <v>98</v>
      </c>
      <c r="V32" s="8">
        <f>SUM(tbl_projects[[#This Row],[CO 6
EE]],tbl_projects[[#This Row],[CO 4
EE]],tbl_projects[[#This Row],[CO 3
EE]],tbl_projects[[#This Row],[CO 2
EE]],tbl_projects[[#This Row],[CO 1
EE]],tbl_projects[[#This Row],[Orig Budget
EE]])</f>
        <v>0</v>
      </c>
    </row>
    <row r="33" spans="1:22" x14ac:dyDescent="0.2">
      <c r="A33" s="3">
        <v>18281036</v>
      </c>
      <c r="B33" s="18" t="s">
        <v>163</v>
      </c>
      <c r="C33" s="1" t="s">
        <v>164</v>
      </c>
      <c r="D33" s="1" t="s">
        <v>84</v>
      </c>
      <c r="F33" s="3" t="b">
        <v>1</v>
      </c>
      <c r="G33" s="3">
        <v>37</v>
      </c>
      <c r="H33" s="3"/>
      <c r="I33" s="3"/>
      <c r="J33" s="3"/>
      <c r="K33" s="3"/>
      <c r="L33" s="3"/>
      <c r="M33" s="3"/>
      <c r="N33" s="3"/>
      <c r="O33" s="3"/>
      <c r="P33" s="3"/>
      <c r="Q33" s="3"/>
      <c r="R33" s="3"/>
      <c r="S33" s="3"/>
      <c r="T33" s="3"/>
      <c r="U33" s="8">
        <f>SUM(tbl_projects[[#This Row],[CO 5
IE]],tbl_projects[[#This Row],[CO 4
IE]],tbl_projects[[#This Row],[CO 3
IE]],tbl_projects[[#This Row],[CO 2
IE]],tbl_projects[[#This Row],[CO 1
IE]],tbl_projects[[#This Row],[Orig Budget
IE]])</f>
        <v>37</v>
      </c>
      <c r="V33" s="8">
        <f>SUM(tbl_projects[[#This Row],[CO 6
EE]],tbl_projects[[#This Row],[CO 4
EE]],tbl_projects[[#This Row],[CO 3
EE]],tbl_projects[[#This Row],[CO 2
EE]],tbl_projects[[#This Row],[CO 1
EE]],tbl_projects[[#This Row],[Orig Budget
EE]])</f>
        <v>0</v>
      </c>
    </row>
    <row r="34" spans="1:22" x14ac:dyDescent="0.2">
      <c r="A34" s="3">
        <v>18281037</v>
      </c>
      <c r="B34" s="18" t="s">
        <v>165</v>
      </c>
      <c r="C34" s="1" t="s">
        <v>166</v>
      </c>
      <c r="D34" s="1" t="s">
        <v>84</v>
      </c>
      <c r="F34" s="3" t="b">
        <v>1</v>
      </c>
      <c r="G34" s="3">
        <v>25</v>
      </c>
      <c r="H34" s="3"/>
      <c r="I34" s="3"/>
      <c r="J34" s="3"/>
      <c r="K34" s="3"/>
      <c r="L34" s="3"/>
      <c r="M34" s="3"/>
      <c r="N34" s="3"/>
      <c r="O34" s="3"/>
      <c r="P34" s="3"/>
      <c r="Q34" s="3"/>
      <c r="R34" s="3"/>
      <c r="S34" s="3"/>
      <c r="T34" s="3"/>
      <c r="U34" s="8">
        <f>SUM(tbl_projects[[#This Row],[CO 5
IE]],tbl_projects[[#This Row],[CO 4
IE]],tbl_projects[[#This Row],[CO 3
IE]],tbl_projects[[#This Row],[CO 2
IE]],tbl_projects[[#This Row],[CO 1
IE]],tbl_projects[[#This Row],[Orig Budget
IE]])</f>
        <v>25</v>
      </c>
      <c r="V34" s="8">
        <f>SUM(tbl_projects[[#This Row],[CO 6
EE]],tbl_projects[[#This Row],[CO 4
EE]],tbl_projects[[#This Row],[CO 3
EE]],tbl_projects[[#This Row],[CO 2
EE]],tbl_projects[[#This Row],[CO 1
EE]],tbl_projects[[#This Row],[Orig Budget
EE]])</f>
        <v>0</v>
      </c>
    </row>
    <row r="35" spans="1:22" x14ac:dyDescent="0.2">
      <c r="A35" s="3">
        <v>18281043</v>
      </c>
      <c r="B35" s="18" t="s">
        <v>167</v>
      </c>
      <c r="C35" s="1" t="s">
        <v>168</v>
      </c>
      <c r="D35" s="1" t="s">
        <v>84</v>
      </c>
      <c r="F35" s="3" t="b">
        <v>1</v>
      </c>
      <c r="G35" s="3">
        <v>37</v>
      </c>
      <c r="H35" s="3"/>
      <c r="I35" s="3"/>
      <c r="J35" s="3"/>
      <c r="K35" s="3"/>
      <c r="L35" s="3"/>
      <c r="M35" s="3"/>
      <c r="N35" s="3"/>
      <c r="O35" s="3"/>
      <c r="P35" s="3"/>
      <c r="Q35" s="3"/>
      <c r="R35" s="3"/>
      <c r="S35" s="3"/>
      <c r="T35" s="3"/>
      <c r="U35" s="8">
        <f>SUM(tbl_projects[[#This Row],[CO 5
IE]],tbl_projects[[#This Row],[CO 4
IE]],tbl_projects[[#This Row],[CO 3
IE]],tbl_projects[[#This Row],[CO 2
IE]],tbl_projects[[#This Row],[CO 1
IE]],tbl_projects[[#This Row],[Orig Budget
IE]])</f>
        <v>37</v>
      </c>
      <c r="V35" s="8">
        <f>SUM(tbl_projects[[#This Row],[CO 6
EE]],tbl_projects[[#This Row],[CO 4
EE]],tbl_projects[[#This Row],[CO 3
EE]],tbl_projects[[#This Row],[CO 2
EE]],tbl_projects[[#This Row],[CO 1
EE]],tbl_projects[[#This Row],[Orig Budget
EE]])</f>
        <v>0</v>
      </c>
    </row>
    <row r="36" spans="1:22" x14ac:dyDescent="0.2">
      <c r="A36" s="22">
        <v>19000000</v>
      </c>
      <c r="B36" s="23" t="s">
        <v>121</v>
      </c>
      <c r="C36" s="21" t="s">
        <v>169</v>
      </c>
      <c r="D36" s="21"/>
      <c r="E36" s="21"/>
      <c r="F36" s="22" t="b">
        <v>0</v>
      </c>
      <c r="G36" s="22"/>
      <c r="H36" s="22"/>
      <c r="I36" s="22"/>
      <c r="J36" s="22"/>
      <c r="K36" s="22"/>
      <c r="L36" s="22"/>
      <c r="M36" s="22"/>
      <c r="N36" s="22"/>
      <c r="O36" s="22"/>
      <c r="P36" s="22"/>
      <c r="Q36" s="22"/>
      <c r="R36" s="22"/>
      <c r="S36" s="22"/>
      <c r="T36" s="22"/>
      <c r="U36" s="20">
        <f>SUM(tbl_projects[[#This Row],[CO 5
IE]],tbl_projects[[#This Row],[CO 4
IE]],tbl_projects[[#This Row],[CO 3
IE]],tbl_projects[[#This Row],[CO 2
IE]],tbl_projects[[#This Row],[CO 1
IE]],tbl_projects[[#This Row],[Orig Budget
IE]])</f>
        <v>0</v>
      </c>
      <c r="V36" s="20">
        <f>SUM(tbl_projects[[#This Row],[CO 6
EE]],tbl_projects[[#This Row],[CO 4
EE]],tbl_projects[[#This Row],[CO 3
EE]],tbl_projects[[#This Row],[CO 2
EE]],tbl_projects[[#This Row],[CO 1
EE]],tbl_projects[[#This Row],[Orig Budget
EE]])</f>
        <v>0</v>
      </c>
    </row>
    <row r="37" spans="1:22" x14ac:dyDescent="0.2">
      <c r="A37" s="22">
        <v>19000001</v>
      </c>
      <c r="B37" s="23" t="s">
        <v>135</v>
      </c>
      <c r="C37" s="21" t="s">
        <v>170</v>
      </c>
      <c r="D37" s="21"/>
      <c r="E37" s="21"/>
      <c r="F37" s="22" t="b">
        <v>0</v>
      </c>
      <c r="G37" s="22"/>
      <c r="H37" s="22"/>
      <c r="I37" s="22"/>
      <c r="J37" s="22"/>
      <c r="K37" s="22"/>
      <c r="L37" s="22"/>
      <c r="M37" s="22"/>
      <c r="N37" s="22"/>
      <c r="O37" s="22"/>
      <c r="P37" s="22"/>
      <c r="Q37" s="22"/>
      <c r="R37" s="22"/>
      <c r="S37" s="22"/>
      <c r="T37" s="22"/>
      <c r="U37" s="20">
        <f>SUM(tbl_projects[[#This Row],[CO 5
IE]],tbl_projects[[#This Row],[CO 4
IE]],tbl_projects[[#This Row],[CO 3
IE]],tbl_projects[[#This Row],[CO 2
IE]],tbl_projects[[#This Row],[CO 1
IE]],tbl_projects[[#This Row],[Orig Budget
IE]])</f>
        <v>0</v>
      </c>
      <c r="V37" s="20">
        <f>SUM(tbl_projects[[#This Row],[CO 6
EE]],tbl_projects[[#This Row],[CO 4
EE]],tbl_projects[[#This Row],[CO 3
EE]],tbl_projects[[#This Row],[CO 2
EE]],tbl_projects[[#This Row],[CO 1
EE]],tbl_projects[[#This Row],[Orig Budget
EE]])</f>
        <v>0</v>
      </c>
    </row>
    <row r="38" spans="1:22" x14ac:dyDescent="0.2">
      <c r="A38" s="22">
        <v>18261116</v>
      </c>
      <c r="B38" s="23" t="s">
        <v>171</v>
      </c>
      <c r="C38" s="21" t="s">
        <v>172</v>
      </c>
      <c r="D38" s="21" t="s">
        <v>84</v>
      </c>
      <c r="E38" s="21" t="s">
        <v>83</v>
      </c>
      <c r="F38" s="22" t="b">
        <v>1</v>
      </c>
      <c r="G38" s="22">
        <v>54</v>
      </c>
      <c r="H38" s="22">
        <v>30</v>
      </c>
      <c r="I38" s="22"/>
      <c r="J38" s="22"/>
      <c r="K38" s="22"/>
      <c r="L38" s="22"/>
      <c r="M38" s="22"/>
      <c r="N38" s="22"/>
      <c r="O38" s="22"/>
      <c r="P38" s="22"/>
      <c r="Q38" s="22"/>
      <c r="R38" s="22"/>
      <c r="S38" s="22"/>
      <c r="T38" s="22"/>
      <c r="U38" s="20">
        <f>SUM(tbl_projects[[#This Row],[CO 5
IE]],tbl_projects[[#This Row],[CO 4
IE]],tbl_projects[[#This Row],[CO 3
IE]],tbl_projects[[#This Row],[CO 2
IE]],tbl_projects[[#This Row],[CO 1
IE]],tbl_projects[[#This Row],[Orig Budget
IE]])</f>
        <v>54</v>
      </c>
      <c r="V38" s="20">
        <f>SUM(tbl_projects[[#This Row],[CO 6
EE]],tbl_projects[[#This Row],[CO 4
EE]],tbl_projects[[#This Row],[CO 3
EE]],tbl_projects[[#This Row],[CO 2
EE]],tbl_projects[[#This Row],[CO 1
EE]],tbl_projects[[#This Row],[Orig Budget
EE]])</f>
        <v>30</v>
      </c>
    </row>
    <row r="39" spans="1:22" x14ac:dyDescent="0.2">
      <c r="A39" s="3">
        <v>18138001</v>
      </c>
      <c r="B39" s="18" t="s">
        <v>174</v>
      </c>
      <c r="C39" s="1" t="s">
        <v>175</v>
      </c>
      <c r="D39" s="1" t="s">
        <v>84</v>
      </c>
      <c r="E39" s="1" t="s">
        <v>83</v>
      </c>
      <c r="F39" s="3" t="b">
        <v>1</v>
      </c>
      <c r="G39" s="3">
        <v>74</v>
      </c>
      <c r="H39" s="3">
        <v>0</v>
      </c>
      <c r="I39" s="3"/>
      <c r="J39" s="3"/>
      <c r="K39" s="3"/>
      <c r="L39" s="3"/>
      <c r="M39" s="3"/>
      <c r="N39" s="3"/>
      <c r="O39" s="3"/>
      <c r="P39" s="3"/>
      <c r="Q39" s="3"/>
      <c r="R39" s="3"/>
      <c r="S39" s="3"/>
      <c r="T39" s="3"/>
      <c r="U39" s="8">
        <f>SUM(tbl_projects[[#This Row],[CO 5
IE]],tbl_projects[[#This Row],[CO 4
IE]],tbl_projects[[#This Row],[CO 3
IE]],tbl_projects[[#This Row],[CO 2
IE]],tbl_projects[[#This Row],[CO 1
IE]],tbl_projects[[#This Row],[Orig Budget
IE]])</f>
        <v>74</v>
      </c>
      <c r="V39" s="8">
        <f>SUM(tbl_projects[[#This Row],[CO 6
EE]],tbl_projects[[#This Row],[CO 4
EE]],tbl_projects[[#This Row],[CO 3
EE]],tbl_projects[[#This Row],[CO 2
EE]],tbl_projects[[#This Row],[CO 1
EE]],tbl_projects[[#This Row],[Orig Budget
EE]])</f>
        <v>0</v>
      </c>
    </row>
    <row r="40" spans="1:22" x14ac:dyDescent="0.2">
      <c r="A40" s="3">
        <v>19140003</v>
      </c>
      <c r="B40" s="18" t="s">
        <v>178</v>
      </c>
      <c r="C40" s="1" t="s">
        <v>179</v>
      </c>
      <c r="D40" s="1" t="s">
        <v>84</v>
      </c>
      <c r="E40" s="1" t="s">
        <v>83</v>
      </c>
      <c r="F40" s="3" t="b">
        <v>1</v>
      </c>
      <c r="G40" s="3">
        <v>54</v>
      </c>
      <c r="H40" s="3"/>
      <c r="I40" s="3"/>
      <c r="J40" s="3"/>
      <c r="K40" s="3"/>
      <c r="L40" s="3"/>
      <c r="M40" s="3"/>
      <c r="N40" s="3"/>
      <c r="O40" s="3"/>
      <c r="P40" s="3"/>
      <c r="Q40" s="3"/>
      <c r="R40" s="3"/>
      <c r="S40" s="3"/>
      <c r="T40" s="3"/>
      <c r="U40" s="8">
        <f>SUM(tbl_projects[[#This Row],[CO 5
IE]],tbl_projects[[#This Row],[CO 4
IE]],tbl_projects[[#This Row],[CO 3
IE]],tbl_projects[[#This Row],[CO 2
IE]],tbl_projects[[#This Row],[CO 1
IE]],tbl_projects[[#This Row],[Orig Budget
IE]])</f>
        <v>54</v>
      </c>
      <c r="V40" s="8">
        <f>SUM(tbl_projects[[#This Row],[CO 6
EE]],tbl_projects[[#This Row],[CO 4
EE]],tbl_projects[[#This Row],[CO 3
EE]],tbl_projects[[#This Row],[CO 2
EE]],tbl_projects[[#This Row],[CO 1
EE]],tbl_projects[[#This Row],[Orig Budget
EE]])</f>
        <v>0</v>
      </c>
    </row>
    <row r="41" spans="1:22" x14ac:dyDescent="0.2">
      <c r="A41" s="3">
        <v>19138001</v>
      </c>
      <c r="B41" s="18" t="s">
        <v>180</v>
      </c>
      <c r="C41" s="1" t="s">
        <v>181</v>
      </c>
      <c r="F41" s="3" t="b">
        <v>1</v>
      </c>
      <c r="G41" s="3"/>
      <c r="H41" s="3"/>
      <c r="I41" s="3"/>
      <c r="J41" s="3"/>
      <c r="K41" s="3"/>
      <c r="L41" s="3"/>
      <c r="M41" s="3"/>
      <c r="N41" s="3"/>
      <c r="O41" s="3"/>
      <c r="P41" s="3"/>
      <c r="Q41" s="3"/>
      <c r="R41" s="3"/>
      <c r="S41" s="3"/>
      <c r="T41" s="3"/>
      <c r="U41" s="8">
        <f>SUM(tbl_projects[[#This Row],[CO 5
IE]],tbl_projects[[#This Row],[CO 4
IE]],tbl_projects[[#This Row],[CO 3
IE]],tbl_projects[[#This Row],[CO 2
IE]],tbl_projects[[#This Row],[CO 1
IE]],tbl_projects[[#This Row],[Orig Budget
IE]])</f>
        <v>0</v>
      </c>
      <c r="V41" s="8">
        <f>SUM(tbl_projects[[#This Row],[CO 6
EE]],tbl_projects[[#This Row],[CO 4
EE]],tbl_projects[[#This Row],[CO 3
EE]],tbl_projects[[#This Row],[CO 2
EE]],tbl_projects[[#This Row],[CO 1
EE]],tbl_projects[[#This Row],[Orig Budget
EE]])</f>
        <v>0</v>
      </c>
    </row>
    <row r="42" spans="1:22" x14ac:dyDescent="0.2">
      <c r="A42" s="3">
        <v>18261136</v>
      </c>
      <c r="B42" s="18" t="s">
        <v>182</v>
      </c>
      <c r="C42" s="1" t="s">
        <v>183</v>
      </c>
      <c r="D42" s="1" t="s">
        <v>84</v>
      </c>
      <c r="E42" s="1" t="s">
        <v>83</v>
      </c>
      <c r="F42" s="3" t="b">
        <v>1</v>
      </c>
      <c r="G42" s="3">
        <v>237</v>
      </c>
      <c r="H42" s="3"/>
      <c r="I42" s="3"/>
      <c r="J42" s="3"/>
      <c r="K42" s="3"/>
      <c r="L42" s="3"/>
      <c r="M42" s="3"/>
      <c r="N42" s="3"/>
      <c r="O42" s="3"/>
      <c r="P42" s="3"/>
      <c r="Q42" s="3"/>
      <c r="R42" s="3"/>
      <c r="S42" s="3"/>
      <c r="T42" s="3"/>
      <c r="U42" s="8">
        <f>SUM(tbl_projects[[#This Row],[CO 5
IE]],tbl_projects[[#This Row],[CO 4
IE]],tbl_projects[[#This Row],[CO 3
IE]],tbl_projects[[#This Row],[CO 2
IE]],tbl_projects[[#This Row],[CO 1
IE]],tbl_projects[[#This Row],[Orig Budget
IE]])</f>
        <v>237</v>
      </c>
      <c r="V42" s="8">
        <f>SUM(tbl_projects[[#This Row],[CO 6
EE]],tbl_projects[[#This Row],[CO 4
EE]],tbl_projects[[#This Row],[CO 3
EE]],tbl_projects[[#This Row],[CO 2
EE]],tbl_projects[[#This Row],[CO 1
EE]],tbl_projects[[#This Row],[Orig Budget
EE]])</f>
        <v>0</v>
      </c>
    </row>
  </sheetData>
  <sortState ref="C2:C20">
    <sortCondition ref="C2"/>
  </sortState>
  <conditionalFormatting sqref="A2:V42">
    <cfRule type="expression" dxfId="24" priority="1">
      <formula>$F2=FALSE</formula>
    </cfRule>
  </conditionalFormatting>
  <dataValidations count="2">
    <dataValidation type="list" allowBlank="1" showInputMessage="1" showErrorMessage="1" sqref="F2:F42">
      <formula1>"TRUE,FALSE"</formula1>
    </dataValidation>
    <dataValidation type="list" allowBlank="1" showInputMessage="1" showErrorMessage="1" sqref="D2:E42">
      <formula1>"YES, NO"</formula1>
    </dataValidation>
  </dataValidations>
  <pageMargins left="0.7" right="0.7" top="0.75" bottom="0.75" header="0.3" footer="0.3"/>
  <pageSetup orientation="portrait"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report</vt:lpstr>
      <vt:lpstr>tbl_timesheet</vt:lpstr>
      <vt:lpstr>tbl_projects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W. Landry</dc:creator>
  <cp:lastModifiedBy>David W. Landry</cp:lastModifiedBy>
  <cp:lastPrinted>2019-03-18T15:26:12Z</cp:lastPrinted>
  <dcterms:created xsi:type="dcterms:W3CDTF">2018-07-16T13:06:47Z</dcterms:created>
  <dcterms:modified xsi:type="dcterms:W3CDTF">2019-03-19T20:50:03Z</dcterms:modified>
</cp:coreProperties>
</file>